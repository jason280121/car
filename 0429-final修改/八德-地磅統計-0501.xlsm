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filterPrivacy="1" codeName="ThisWorkbook" defaultThemeVersion="124226"/>
  <xr:revisionPtr revIDLastSave="0" documentId="13_ncr:1_{E202473C-6BFA-4570-AF89-4E45123D587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13年度4月各週統計" sheetId="4" r:id="rId1"/>
    <sheet name="市場車-社區定點-黑包車" sheetId="5" r:id="rId2"/>
  </sheets>
  <definedNames>
    <definedName name="_xlnm.Print_Area" localSheetId="0">'113年度4月各週統計'!$A$1:$J$42</definedName>
  </definedNames>
  <calcPr calcId="181029"/>
</workbook>
</file>

<file path=xl/calcChain.xml><?xml version="1.0" encoding="utf-8"?>
<calcChain xmlns="http://schemas.openxmlformats.org/spreadsheetml/2006/main">
  <c r="H32" i="4" l="1"/>
  <c r="H16" i="4"/>
  <c r="H8" i="4"/>
  <c r="H40" i="4"/>
</calcChain>
</file>

<file path=xl/sharedStrings.xml><?xml version="1.0" encoding="utf-8"?>
<sst xmlns="http://schemas.openxmlformats.org/spreadsheetml/2006/main" count="96" uniqueCount="58">
  <si>
    <t>日期</t>
    <phoneticPr fontId="1" type="noConversion"/>
  </si>
  <si>
    <t>星期</t>
    <phoneticPr fontId="1" type="noConversion"/>
  </si>
  <si>
    <t>星期三</t>
  </si>
  <si>
    <t>星期四</t>
  </si>
  <si>
    <t>星期五</t>
  </si>
  <si>
    <t>星期六</t>
  </si>
  <si>
    <t>星期日</t>
  </si>
  <si>
    <t>星期一</t>
  </si>
  <si>
    <t>星期二</t>
  </si>
  <si>
    <t>夜班垃圾車</t>
    <phoneticPr fontId="1" type="noConversion"/>
  </si>
  <si>
    <t>日班市場車</t>
    <phoneticPr fontId="1" type="noConversion"/>
  </si>
  <si>
    <t>合計</t>
    <phoneticPr fontId="1" type="noConversion"/>
  </si>
  <si>
    <t>巨大傢俱</t>
    <phoneticPr fontId="1" type="noConversion"/>
  </si>
  <si>
    <t>日班總計</t>
    <phoneticPr fontId="1" type="noConversion"/>
  </si>
  <si>
    <t>市場、社區
、黑包</t>
    <phoneticPr fontId="1" type="noConversion"/>
  </si>
  <si>
    <t>日班社區
定點</t>
    <phoneticPr fontId="1" type="noConversion"/>
  </si>
  <si>
    <t>月統計</t>
    <phoneticPr fontId="1" type="noConversion"/>
  </si>
  <si>
    <t>市場車休5-6</t>
    <phoneticPr fontId="1" type="noConversion"/>
  </si>
  <si>
    <t>市場車休日-1</t>
    <phoneticPr fontId="1" type="noConversion"/>
  </si>
  <si>
    <t>謝禎府</t>
    <phoneticPr fontId="1" type="noConversion"/>
  </si>
  <si>
    <t>張英修</t>
    <phoneticPr fontId="1" type="noConversion"/>
  </si>
  <si>
    <t>張建書</t>
    <phoneticPr fontId="1" type="noConversion"/>
  </si>
  <si>
    <t>藍美滿</t>
    <phoneticPr fontId="1" type="noConversion"/>
  </si>
  <si>
    <t>呂理泉</t>
    <phoneticPr fontId="1" type="noConversion"/>
  </si>
  <si>
    <t>許慶成</t>
    <phoneticPr fontId="1" type="noConversion"/>
  </si>
  <si>
    <t>吳政霆</t>
    <phoneticPr fontId="1" type="noConversion"/>
  </si>
  <si>
    <t>張光榮</t>
    <phoneticPr fontId="1" type="noConversion"/>
  </si>
  <si>
    <t>社區定點</t>
    <phoneticPr fontId="1" type="noConversion"/>
  </si>
  <si>
    <t>黃柏豪</t>
    <phoneticPr fontId="1" type="noConversion"/>
  </si>
  <si>
    <t>翁敬德</t>
    <phoneticPr fontId="1" type="noConversion"/>
  </si>
  <si>
    <t>彭武郎</t>
    <phoneticPr fontId="1" type="noConversion"/>
  </si>
  <si>
    <t>呂紹</t>
    <phoneticPr fontId="1" type="noConversion"/>
  </si>
  <si>
    <t>王大昌</t>
    <phoneticPr fontId="1" type="noConversion"/>
  </si>
  <si>
    <t>古昌正</t>
    <phoneticPr fontId="1" type="noConversion"/>
  </si>
  <si>
    <t>車號</t>
    <phoneticPr fontId="1" type="noConversion"/>
  </si>
  <si>
    <t>KEP-2602/預備車</t>
    <phoneticPr fontId="1" type="noConversion"/>
  </si>
  <si>
    <t>KEA-7213</t>
  </si>
  <si>
    <t>166-VM/預備車</t>
  </si>
  <si>
    <t>KEC-2663</t>
  </si>
  <si>
    <t>KEP-6151</t>
  </si>
  <si>
    <t>448-VM</t>
  </si>
  <si>
    <t>黃信銓</t>
    <phoneticPr fontId="1" type="noConversion"/>
  </si>
  <si>
    <t>市場車</t>
    <phoneticPr fontId="1" type="noConversion"/>
  </si>
  <si>
    <t>黑包車</t>
    <phoneticPr fontId="1" type="noConversion"/>
  </si>
  <si>
    <t>蔡文進</t>
    <phoneticPr fontId="1" type="noConversion"/>
  </si>
  <si>
    <t>陳奕團</t>
    <phoneticPr fontId="1" type="noConversion"/>
  </si>
  <si>
    <t>徐瑞蓮</t>
    <phoneticPr fontId="1" type="noConversion"/>
  </si>
  <si>
    <t>KEK-2002</t>
    <phoneticPr fontId="1" type="noConversion"/>
  </si>
  <si>
    <t>羅坤鐘</t>
    <phoneticPr fontId="1" type="noConversion"/>
  </si>
  <si>
    <t>邱聖茂</t>
    <phoneticPr fontId="1" type="noConversion"/>
  </si>
  <si>
    <t>KED-2531/預備車</t>
    <phoneticPr fontId="1" type="noConversion"/>
  </si>
  <si>
    <t>助手</t>
    <phoneticPr fontId="1" type="noConversion"/>
  </si>
  <si>
    <t>第一週統計</t>
    <phoneticPr fontId="1" type="noConversion"/>
  </si>
  <si>
    <t>第二週統計</t>
    <phoneticPr fontId="1" type="noConversion"/>
  </si>
  <si>
    <t>第三週統計</t>
    <phoneticPr fontId="1" type="noConversion"/>
  </si>
  <si>
    <t>第四週統計</t>
    <phoneticPr fontId="1" type="noConversion"/>
  </si>
  <si>
    <t>第五週統計</t>
    <phoneticPr fontId="1" type="noConversion"/>
  </si>
  <si>
    <t>日班黑包組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</si>
</sst>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"/>
    <numFmt numFmtId="177" formatCode="0.00_);[Red]\(0.00\)"/>
    <numFmt numFmtId="178" formatCode="0.00_ "/>
    <numFmt numFmtId="179" formatCode="0.000_);[Red]\(0.000\)"/>
  </numFmts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6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8"/>
      <name val="新細明體"/>
      <family val="1"/>
      <charset val="136"/>
      <scheme val="minor"/>
    </font>
    <font>
      <sz val="20"/>
      <name val="新細明體"/>
      <family val="1"/>
      <charset val="136"/>
      <scheme val="minor"/>
    </font>
    <font>
      <sz val="16"/>
      <color theme="1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8"/>
      <name val="新細明體"/>
      <family val="2"/>
      <charset val="136"/>
      <scheme val="minor"/>
    </font>
    <font>
      <sz val="20"/>
      <color theme="1"/>
      <name val="新細明體"/>
      <family val="2"/>
      <charset val="136"/>
      <scheme val="minor"/>
    </font>
    <font>
      <sz val="20"/>
      <color theme="1"/>
      <name val="新細明體"/>
      <family val="1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C393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0" fillId="5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8" fillId="6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2" fillId="11" borderId="1" xfId="0" applyNumberFormat="1" applyFont="1" applyFill="1" applyBorder="1" applyAlignment="1">
      <alignment horizontal="center" vertical="center"/>
    </xf>
    <xf numFmtId="177" fontId="2" fillId="11" borderId="1" xfId="0" applyNumberFormat="1" applyFont="1" applyFill="1" applyBorder="1" applyAlignment="1">
      <alignment horizontal="center" vertical="center"/>
    </xf>
    <xf numFmtId="177" fontId="2" fillId="11" borderId="1" xfId="0" applyNumberFormat="1" applyFont="1" applyFill="1" applyBorder="1" applyAlignment="1">
      <alignment horizontal="center" vertical="center" wrapText="1"/>
    </xf>
    <xf numFmtId="177" fontId="4" fillId="11" borderId="1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0" fillId="11" borderId="1" xfId="0" applyNumberForma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177" fontId="4" fillId="15" borderId="1" xfId="0" applyNumberFormat="1" applyFont="1" applyFill="1" applyBorder="1" applyAlignment="1">
      <alignment horizontal="center" vertical="center"/>
    </xf>
    <xf numFmtId="179" fontId="4" fillId="15" borderId="1" xfId="0" applyNumberFormat="1" applyFont="1" applyFill="1" applyBorder="1" applyAlignment="1">
      <alignment horizontal="center" vertical="center"/>
    </xf>
    <xf numFmtId="178" fontId="4" fillId="15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6" fontId="2" fillId="9" borderId="1" xfId="0" applyNumberFormat="1" applyFont="1" applyFill="1" applyBorder="1" applyAlignment="1">
      <alignment horizontal="center" vertical="center"/>
    </xf>
    <xf numFmtId="178" fontId="4" fillId="9" borderId="1" xfId="0" applyNumberFormat="1" applyFont="1" applyFill="1" applyBorder="1" applyAlignment="1">
      <alignment horizontal="center" vertical="center"/>
    </xf>
    <xf numFmtId="177" fontId="4" fillId="9" borderId="1" xfId="0" applyNumberFormat="1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77" fontId="2" fillId="9" borderId="1" xfId="0" applyNumberFormat="1" applyFont="1" applyFill="1" applyBorder="1" applyAlignment="1">
      <alignment horizontal="center" vertical="center"/>
    </xf>
    <xf numFmtId="176" fontId="2" fillId="16" borderId="1" xfId="0" applyNumberFormat="1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U73"/>
  <sheetViews>
    <sheetView tabSelected="1" zoomScaleNormal="100" workbookViewId="0">
      <pane ySplit="1" topLeftCell="A29" activePane="bottomLeft" state="frozen"/>
      <selection pane="bottomLeft" activeCell="C36" sqref="C36"/>
    </sheetView>
  </sheetViews>
  <sheetFormatPr defaultColWidth="9" defaultRowHeight="16.2" x14ac:dyDescent="0.3"/>
  <cols>
    <col min="1" max="1" width="17.44140625" style="2" bestFit="1" customWidth="1"/>
    <col min="2" max="2" width="10.77734375" style="2" bestFit="1" customWidth="1"/>
    <col min="3" max="4" width="17.44140625" style="2" bestFit="1" customWidth="1"/>
    <col min="5" max="5" width="10.77734375" style="2" bestFit="1" customWidth="1"/>
    <col min="6" max="6" width="17.44140625" style="2" bestFit="1" customWidth="1"/>
    <col min="7" max="7" width="12.109375" style="34" bestFit="1" customWidth="1"/>
    <col min="8" max="10" width="14.109375" style="2" bestFit="1" customWidth="1"/>
    <col min="11" max="11" width="9" style="2"/>
    <col min="12" max="12" width="20.33203125" style="2" bestFit="1" customWidth="1"/>
    <col min="13" max="13" width="27.77734375" style="2" bestFit="1" customWidth="1"/>
    <col min="14" max="14" width="22.21875" style="2" bestFit="1" customWidth="1"/>
    <col min="15" max="15" width="27.77734375" style="2" bestFit="1" customWidth="1"/>
    <col min="16" max="16384" width="9" style="2"/>
  </cols>
  <sheetData>
    <row r="1" spans="1:47" ht="66.599999999999994" x14ac:dyDescent="0.3">
      <c r="A1" s="53" t="s">
        <v>0</v>
      </c>
      <c r="B1" s="53" t="s">
        <v>1</v>
      </c>
      <c r="C1" s="3" t="s">
        <v>9</v>
      </c>
      <c r="D1" s="3" t="s">
        <v>10</v>
      </c>
      <c r="E1" s="4" t="s">
        <v>15</v>
      </c>
      <c r="F1" s="3" t="s">
        <v>57</v>
      </c>
      <c r="G1" s="49" t="s">
        <v>11</v>
      </c>
      <c r="H1" s="40" t="s">
        <v>13</v>
      </c>
      <c r="I1" s="41" t="s">
        <v>14</v>
      </c>
      <c r="J1" s="42" t="s">
        <v>12</v>
      </c>
    </row>
    <row r="2" spans="1:47" ht="22.2" x14ac:dyDescent="0.3">
      <c r="A2" s="36">
        <v>45775</v>
      </c>
      <c r="B2" s="36" t="s">
        <v>7</v>
      </c>
      <c r="C2" s="6">
        <v>58.14</v>
      </c>
      <c r="D2" s="6">
        <v>5.27</v>
      </c>
      <c r="E2" s="6">
        <v>1.64</v>
      </c>
      <c r="F2" s="6">
        <v>0.94</v>
      </c>
      <c r="G2" s="49">
        <v>65.989999999999995</v>
      </c>
      <c r="H2" s="6">
        <v>13.53</v>
      </c>
      <c r="I2" s="47">
        <v>7.85</v>
      </c>
      <c r="J2" s="48">
        <v>2.84</v>
      </c>
    </row>
    <row r="3" spans="1:47" ht="22.2" x14ac:dyDescent="0.3">
      <c r="A3" s="36">
        <v>45776</v>
      </c>
      <c r="B3" s="36" t="s">
        <v>8</v>
      </c>
      <c r="C3" s="6">
        <v>58.14</v>
      </c>
      <c r="D3" s="6">
        <v>5.27</v>
      </c>
      <c r="E3" s="6">
        <v>1.64</v>
      </c>
      <c r="F3" s="6">
        <v>0.94</v>
      </c>
      <c r="G3" s="49">
        <v>65.989999999999995</v>
      </c>
      <c r="H3" s="6">
        <v>13.53</v>
      </c>
      <c r="I3" s="47">
        <v>7.85</v>
      </c>
      <c r="J3" s="48">
        <v>2.84</v>
      </c>
    </row>
    <row r="4" spans="1:47" ht="22.2" x14ac:dyDescent="0.3">
      <c r="A4" s="36">
        <v>45777</v>
      </c>
      <c r="B4" s="36" t="s">
        <v>2</v>
      </c>
      <c r="C4" s="37">
        <v>0</v>
      </c>
      <c r="D4" s="37">
        <v>5.41</v>
      </c>
      <c r="E4" s="37">
        <v>0</v>
      </c>
      <c r="F4" s="37">
        <v>0</v>
      </c>
      <c r="G4" s="49">
        <v>5.41</v>
      </c>
      <c r="H4" s="37">
        <v>15.75</v>
      </c>
      <c r="I4" s="47">
        <v>5.41</v>
      </c>
      <c r="J4" s="48">
        <v>5.17</v>
      </c>
    </row>
    <row r="5" spans="1:47" ht="22.2" x14ac:dyDescent="0.3">
      <c r="A5" s="36">
        <v>45778</v>
      </c>
      <c r="B5" s="36" t="s">
        <v>3</v>
      </c>
      <c r="C5" s="6">
        <v>119.81</v>
      </c>
      <c r="D5" s="6">
        <v>6.07</v>
      </c>
      <c r="E5" s="6">
        <v>11.96</v>
      </c>
      <c r="F5" s="6">
        <v>1.0900000000000001</v>
      </c>
      <c r="G5" s="50">
        <v>138.93</v>
      </c>
      <c r="H5" s="6">
        <v>32.19</v>
      </c>
      <c r="I5" s="6">
        <v>19.12</v>
      </c>
      <c r="J5" s="6">
        <v>6.5349999999999984</v>
      </c>
    </row>
    <row r="6" spans="1:47" ht="22.2" x14ac:dyDescent="0.3">
      <c r="A6" s="36">
        <v>45779</v>
      </c>
      <c r="B6" s="36" t="s">
        <v>4</v>
      </c>
      <c r="C6" s="6">
        <v>77.63</v>
      </c>
      <c r="D6" s="6">
        <v>5.01</v>
      </c>
      <c r="E6" s="6">
        <v>1.53</v>
      </c>
      <c r="F6" s="6">
        <v>1.64</v>
      </c>
      <c r="G6" s="50">
        <v>85.81</v>
      </c>
      <c r="H6" s="6">
        <v>15.59</v>
      </c>
      <c r="I6" s="6">
        <v>8.18</v>
      </c>
      <c r="J6" s="6">
        <v>3.7050000000000001</v>
      </c>
      <c r="M6" s="35"/>
    </row>
    <row r="7" spans="1:47" s="34" customFormat="1" ht="22.2" x14ac:dyDescent="0.3">
      <c r="A7" s="36">
        <v>45780</v>
      </c>
      <c r="B7" s="36" t="s">
        <v>5</v>
      </c>
      <c r="C7" s="37">
        <v>75.02</v>
      </c>
      <c r="D7" s="37">
        <v>3.39</v>
      </c>
      <c r="E7" s="37">
        <v>4.3899999999999997</v>
      </c>
      <c r="F7" s="37">
        <v>3.19</v>
      </c>
      <c r="G7" s="50">
        <v>85.99</v>
      </c>
      <c r="H7" s="37">
        <v>17.84</v>
      </c>
      <c r="I7" s="37">
        <v>10.969999999999999</v>
      </c>
      <c r="J7" s="37">
        <v>3.4350000000000005</v>
      </c>
      <c r="M7" s="46"/>
    </row>
    <row r="8" spans="1:47" s="34" customFormat="1" ht="22.2" x14ac:dyDescent="0.3">
      <c r="A8" s="36">
        <v>45781</v>
      </c>
      <c r="B8" s="36" t="s">
        <v>6</v>
      </c>
      <c r="C8" s="37">
        <v>0</v>
      </c>
      <c r="D8" s="38">
        <v>4.8499999999999996</v>
      </c>
      <c r="E8" s="37">
        <v>0</v>
      </c>
      <c r="F8" s="37">
        <v>0</v>
      </c>
      <c r="G8" s="50">
        <v>4.8499999999999996</v>
      </c>
      <c r="H8" s="37">
        <f t="shared" ref="H8" si="0">SUM(C8:E8)</f>
        <v>4.8499999999999996</v>
      </c>
      <c r="I8" s="37">
        <v>4.8499999999999996</v>
      </c>
      <c r="J8" s="37">
        <v>0</v>
      </c>
    </row>
    <row r="9" spans="1:47" s="57" customFormat="1" ht="22.2" x14ac:dyDescent="0.3">
      <c r="A9" s="59" t="s">
        <v>52</v>
      </c>
      <c r="B9" s="54"/>
      <c r="C9" s="55">
        <v>388.74</v>
      </c>
      <c r="D9" s="55">
        <v>35.270000000000003</v>
      </c>
      <c r="E9" s="55">
        <v>21.16</v>
      </c>
      <c r="F9" s="55">
        <v>7.7999999999999989</v>
      </c>
      <c r="G9" s="50">
        <v>452.97</v>
      </c>
      <c r="H9" s="55">
        <v>113.28</v>
      </c>
      <c r="I9" s="55">
        <v>64.23</v>
      </c>
      <c r="J9" s="55">
        <v>24.524999999999999</v>
      </c>
    </row>
    <row r="10" spans="1:47" ht="22.2" x14ac:dyDescent="0.3">
      <c r="A10" s="36">
        <v>45782</v>
      </c>
      <c r="B10" s="36" t="s">
        <v>7</v>
      </c>
      <c r="C10" s="6">
        <v>116.06</v>
      </c>
      <c r="D10" s="6">
        <v>4.5199999999999996</v>
      </c>
      <c r="E10" s="6">
        <v>13.08</v>
      </c>
      <c r="F10" s="6">
        <v>2.36</v>
      </c>
      <c r="G10" s="50">
        <v>136.02000000000001</v>
      </c>
      <c r="H10" s="6">
        <v>37.22</v>
      </c>
      <c r="I10" s="6">
        <v>19.96</v>
      </c>
      <c r="J10" s="6">
        <v>8.629999999999999</v>
      </c>
    </row>
    <row r="11" spans="1:47" ht="22.2" x14ac:dyDescent="0.3">
      <c r="A11" s="36">
        <v>45783</v>
      </c>
      <c r="B11" s="36" t="s">
        <v>8</v>
      </c>
      <c r="C11" s="6">
        <v>66.260000000000005</v>
      </c>
      <c r="D11" s="6">
        <v>4.8899999999999997</v>
      </c>
      <c r="E11" s="6">
        <v>1.51</v>
      </c>
      <c r="F11" s="6">
        <v>1.48</v>
      </c>
      <c r="G11" s="50">
        <v>74.140000000000015</v>
      </c>
      <c r="H11" s="6">
        <v>20.95</v>
      </c>
      <c r="I11" s="6">
        <v>7.879999999999999</v>
      </c>
      <c r="J11" s="6">
        <v>6.5350000000000001</v>
      </c>
    </row>
    <row r="12" spans="1:47" ht="22.2" x14ac:dyDescent="0.3">
      <c r="A12" s="36">
        <v>45784</v>
      </c>
      <c r="B12" s="36" t="s">
        <v>2</v>
      </c>
      <c r="C12" s="37">
        <v>0</v>
      </c>
      <c r="D12" s="37">
        <v>4.93</v>
      </c>
      <c r="E12" s="6">
        <v>0</v>
      </c>
      <c r="F12" s="37">
        <v>0</v>
      </c>
      <c r="G12" s="50">
        <v>4.93</v>
      </c>
      <c r="H12" s="37">
        <v>12.69</v>
      </c>
      <c r="I12" s="37">
        <v>4.93</v>
      </c>
      <c r="J12" s="37">
        <v>3.88</v>
      </c>
    </row>
    <row r="13" spans="1:47" ht="22.2" x14ac:dyDescent="0.3">
      <c r="A13" s="36">
        <v>45785</v>
      </c>
      <c r="B13" s="36" t="s">
        <v>3</v>
      </c>
      <c r="C13" s="6">
        <v>107.41</v>
      </c>
      <c r="D13" s="6">
        <v>3.61</v>
      </c>
      <c r="E13" s="6">
        <v>9.32</v>
      </c>
      <c r="F13" s="6">
        <v>1.73</v>
      </c>
      <c r="G13" s="50">
        <v>122.07000000000001</v>
      </c>
      <c r="H13" s="6">
        <v>33.69</v>
      </c>
      <c r="I13" s="6">
        <v>14.66</v>
      </c>
      <c r="J13" s="6">
        <v>9.5149999999999988</v>
      </c>
    </row>
    <row r="14" spans="1:47" ht="22.2" x14ac:dyDescent="0.3">
      <c r="A14" s="36">
        <v>45786</v>
      </c>
      <c r="B14" s="36" t="s">
        <v>4</v>
      </c>
      <c r="C14" s="6">
        <v>62.13</v>
      </c>
      <c r="D14" s="6">
        <v>5.25</v>
      </c>
      <c r="E14" s="6">
        <v>1.48</v>
      </c>
      <c r="F14" s="6">
        <v>1.63</v>
      </c>
      <c r="G14" s="50">
        <v>70.489999999999995</v>
      </c>
      <c r="H14" s="45">
        <v>20.97</v>
      </c>
      <c r="I14" s="6">
        <v>8.36</v>
      </c>
      <c r="J14" s="6">
        <v>6.3049999999999997</v>
      </c>
    </row>
    <row r="15" spans="1:47" ht="22.2" x14ac:dyDescent="0.3">
      <c r="A15" s="36">
        <v>45787</v>
      </c>
      <c r="B15" s="36" t="s">
        <v>5</v>
      </c>
      <c r="C15" s="6">
        <v>89.03</v>
      </c>
      <c r="D15" s="6">
        <v>6.11</v>
      </c>
      <c r="E15" s="6">
        <v>4.2</v>
      </c>
      <c r="F15" s="6">
        <v>3.76</v>
      </c>
      <c r="G15" s="50">
        <v>103.10000000000001</v>
      </c>
      <c r="H15" s="6">
        <v>16.29</v>
      </c>
      <c r="I15" s="6">
        <v>14.07</v>
      </c>
      <c r="J15" s="6">
        <v>1.1099999999999994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</row>
    <row r="16" spans="1:47" ht="22.2" x14ac:dyDescent="0.3">
      <c r="A16" s="36">
        <v>45788</v>
      </c>
      <c r="B16" s="36" t="s">
        <v>6</v>
      </c>
      <c r="C16" s="6">
        <v>0</v>
      </c>
      <c r="D16" s="37">
        <v>6.79</v>
      </c>
      <c r="E16" s="6">
        <v>0</v>
      </c>
      <c r="F16" s="6">
        <v>0</v>
      </c>
      <c r="G16" s="50">
        <v>6.79</v>
      </c>
      <c r="H16" s="6">
        <f t="shared" ref="H16" si="1">SUM(C16:E16)</f>
        <v>6.79</v>
      </c>
      <c r="I16" s="6">
        <v>6.79</v>
      </c>
      <c r="J16" s="6"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</row>
    <row r="17" spans="1:47" s="57" customFormat="1" ht="22.2" x14ac:dyDescent="0.3">
      <c r="A17" s="59" t="s">
        <v>53</v>
      </c>
      <c r="B17" s="54"/>
      <c r="C17" s="55">
        <v>440.89</v>
      </c>
      <c r="D17" s="55">
        <v>36.1</v>
      </c>
      <c r="E17" s="55">
        <v>29.59</v>
      </c>
      <c r="F17" s="55">
        <v>10.96</v>
      </c>
      <c r="G17" s="50">
        <v>517.54000000000008</v>
      </c>
      <c r="H17" s="55">
        <v>148.6</v>
      </c>
      <c r="I17" s="55">
        <v>76.649999999999991</v>
      </c>
      <c r="J17" s="55">
        <v>35.974999999999994</v>
      </c>
    </row>
    <row r="18" spans="1:47" s="9" customFormat="1" ht="22.2" x14ac:dyDescent="0.3">
      <c r="A18" s="36">
        <v>45789</v>
      </c>
      <c r="B18" s="1" t="s">
        <v>7</v>
      </c>
      <c r="C18" s="6">
        <v>142.91</v>
      </c>
      <c r="D18" s="6">
        <v>4.33</v>
      </c>
      <c r="E18" s="6">
        <v>33.31</v>
      </c>
      <c r="F18" s="6">
        <v>2.94</v>
      </c>
      <c r="G18" s="50">
        <v>183.49</v>
      </c>
      <c r="H18" s="6">
        <v>65.739999999999995</v>
      </c>
      <c r="I18" s="6">
        <v>40.58</v>
      </c>
      <c r="J18" s="6">
        <v>12.579999999999998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</row>
    <row r="19" spans="1:47" s="9" customFormat="1" ht="22.2" x14ac:dyDescent="0.3">
      <c r="A19" s="36">
        <v>45790</v>
      </c>
      <c r="B19" s="1" t="s">
        <v>8</v>
      </c>
      <c r="C19" s="6">
        <v>91.95</v>
      </c>
      <c r="D19" s="6">
        <v>4.92</v>
      </c>
      <c r="E19" s="6">
        <v>20.260000000000002</v>
      </c>
      <c r="F19" s="6">
        <v>1.33</v>
      </c>
      <c r="G19" s="50">
        <v>118.46000000000001</v>
      </c>
      <c r="H19" s="6">
        <v>46.17</v>
      </c>
      <c r="I19" s="6">
        <v>26.509999999999998</v>
      </c>
      <c r="J19" s="6">
        <v>9.8300000000000018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</row>
    <row r="20" spans="1:47" s="9" customFormat="1" ht="22.2" x14ac:dyDescent="0.3">
      <c r="A20" s="36">
        <v>45791</v>
      </c>
      <c r="B20" s="36" t="s">
        <v>2</v>
      </c>
      <c r="C20" s="37">
        <v>0</v>
      </c>
      <c r="D20" s="37">
        <v>5.28</v>
      </c>
      <c r="E20" s="37">
        <v>0</v>
      </c>
      <c r="F20" s="37">
        <v>0</v>
      </c>
      <c r="G20" s="50">
        <v>5.28</v>
      </c>
      <c r="H20" s="37">
        <v>8.82</v>
      </c>
      <c r="I20" s="37">
        <v>5.28</v>
      </c>
      <c r="J20" s="37">
        <v>1.77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</row>
    <row r="21" spans="1:47" s="9" customFormat="1" ht="22.2" x14ac:dyDescent="0.3">
      <c r="A21" s="36">
        <v>45792</v>
      </c>
      <c r="B21" s="36" t="s">
        <v>3</v>
      </c>
      <c r="C21" s="6">
        <v>139.08000000000001</v>
      </c>
      <c r="D21" s="6">
        <v>4.95</v>
      </c>
      <c r="E21" s="6">
        <v>32.909999999999997</v>
      </c>
      <c r="F21" s="6">
        <v>1.71</v>
      </c>
      <c r="G21" s="50">
        <v>178.65</v>
      </c>
      <c r="H21" s="6">
        <v>60.41</v>
      </c>
      <c r="I21" s="6">
        <v>39.57</v>
      </c>
      <c r="J21" s="6">
        <v>10.419999999999998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</row>
    <row r="22" spans="1:47" s="9" customFormat="1" ht="22.2" x14ac:dyDescent="0.3">
      <c r="A22" s="36">
        <v>45793</v>
      </c>
      <c r="B22" s="36" t="s">
        <v>4</v>
      </c>
      <c r="C22" s="6">
        <v>83.71</v>
      </c>
      <c r="D22" s="6">
        <v>5.23</v>
      </c>
      <c r="E22" s="6">
        <v>15.94</v>
      </c>
      <c r="F22" s="6">
        <v>1.85</v>
      </c>
      <c r="G22" s="50">
        <v>106.72999999999999</v>
      </c>
      <c r="H22" s="6">
        <v>30.31</v>
      </c>
      <c r="I22" s="6">
        <v>23.020000000000003</v>
      </c>
      <c r="J22" s="6">
        <v>3.6449999999999978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</row>
    <row r="23" spans="1:47" s="9" customFormat="1" ht="22.2" x14ac:dyDescent="0.3">
      <c r="A23" s="36">
        <v>45794</v>
      </c>
      <c r="B23" s="36" t="s">
        <v>5</v>
      </c>
      <c r="C23" s="6">
        <v>100.1</v>
      </c>
      <c r="D23" s="6">
        <v>5.89</v>
      </c>
      <c r="E23" s="6">
        <v>19.16</v>
      </c>
      <c r="F23" s="6">
        <v>4.07</v>
      </c>
      <c r="G23" s="50">
        <v>129.22</v>
      </c>
      <c r="H23" s="6">
        <v>34.78</v>
      </c>
      <c r="I23" s="6">
        <v>29.12</v>
      </c>
      <c r="J23" s="6">
        <v>2.83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</row>
    <row r="24" spans="1:47" s="9" customFormat="1" ht="22.2" x14ac:dyDescent="0.3">
      <c r="A24" s="36">
        <v>45795</v>
      </c>
      <c r="B24" s="36" t="s">
        <v>6</v>
      </c>
      <c r="C24" s="6">
        <v>0</v>
      </c>
      <c r="D24" s="37">
        <v>6.94</v>
      </c>
      <c r="E24" s="6">
        <v>0</v>
      </c>
      <c r="F24" s="6">
        <v>0</v>
      </c>
      <c r="G24" s="50">
        <v>6.94</v>
      </c>
      <c r="H24" s="6">
        <v>6.94</v>
      </c>
      <c r="I24" s="6">
        <v>6.94</v>
      </c>
      <c r="J24" s="6"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</row>
    <row r="25" spans="1:47" s="57" customFormat="1" ht="22.2" x14ac:dyDescent="0.3">
      <c r="A25" s="59" t="s">
        <v>54</v>
      </c>
      <c r="B25" s="54"/>
      <c r="C25" s="55">
        <v>557.75</v>
      </c>
      <c r="D25" s="55">
        <v>37.54</v>
      </c>
      <c r="E25" s="55">
        <v>121.58</v>
      </c>
      <c r="F25" s="55">
        <v>11.9</v>
      </c>
      <c r="G25" s="50">
        <v>728.7700000000001</v>
      </c>
      <c r="H25" s="55">
        <v>253.17</v>
      </c>
      <c r="I25" s="55">
        <v>171.02</v>
      </c>
      <c r="J25" s="55">
        <v>41.074999999999989</v>
      </c>
    </row>
    <row r="26" spans="1:47" s="9" customFormat="1" ht="22.2" x14ac:dyDescent="0.3">
      <c r="A26" s="36">
        <v>45796</v>
      </c>
      <c r="B26" s="36" t="s">
        <v>7</v>
      </c>
      <c r="C26" s="33">
        <v>145.16999999999999</v>
      </c>
      <c r="D26" s="33">
        <v>4.07</v>
      </c>
      <c r="E26" s="33">
        <v>35.270000000000003</v>
      </c>
      <c r="F26" s="33">
        <v>3.23</v>
      </c>
      <c r="G26" s="51">
        <v>187.73999999999998</v>
      </c>
      <c r="H26" s="33">
        <v>65.03</v>
      </c>
      <c r="I26" s="33">
        <v>42.57</v>
      </c>
      <c r="J26" s="33">
        <v>11.23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</row>
    <row r="27" spans="1:47" s="9" customFormat="1" ht="22.2" x14ac:dyDescent="0.3">
      <c r="A27" s="36">
        <v>45797</v>
      </c>
      <c r="B27" s="36" t="s">
        <v>8</v>
      </c>
      <c r="C27" s="6">
        <v>90.54</v>
      </c>
      <c r="D27" s="6">
        <v>4.6900000000000004</v>
      </c>
      <c r="E27" s="6">
        <v>15.73</v>
      </c>
      <c r="F27" s="6">
        <v>1.53</v>
      </c>
      <c r="G27" s="50">
        <v>112.49000000000001</v>
      </c>
      <c r="H27" s="6">
        <v>42.56</v>
      </c>
      <c r="I27" s="6">
        <v>21.950000000000003</v>
      </c>
      <c r="J27" s="6">
        <v>10.305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</row>
    <row r="28" spans="1:47" s="9" customFormat="1" ht="22.2" x14ac:dyDescent="0.3">
      <c r="A28" s="36">
        <v>45798</v>
      </c>
      <c r="B28" s="36" t="s">
        <v>2</v>
      </c>
      <c r="C28" s="37">
        <v>0</v>
      </c>
      <c r="D28" s="37">
        <v>4.8</v>
      </c>
      <c r="E28" s="37">
        <v>0</v>
      </c>
      <c r="F28" s="37">
        <v>0</v>
      </c>
      <c r="G28" s="50">
        <v>4.8</v>
      </c>
      <c r="H28" s="37">
        <v>8</v>
      </c>
      <c r="I28" s="37">
        <v>4.8</v>
      </c>
      <c r="J28" s="37">
        <v>1.6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</row>
    <row r="29" spans="1:47" s="9" customFormat="1" ht="22.2" x14ac:dyDescent="0.3">
      <c r="A29" s="36">
        <v>45799</v>
      </c>
      <c r="B29" s="36" t="s">
        <v>3</v>
      </c>
      <c r="C29" s="6">
        <v>136.38</v>
      </c>
      <c r="D29" s="6">
        <v>5.01</v>
      </c>
      <c r="E29" s="6">
        <v>32.21</v>
      </c>
      <c r="F29" s="6">
        <v>2.11</v>
      </c>
      <c r="G29" s="50">
        <v>175.71</v>
      </c>
      <c r="H29" s="6">
        <v>49.67</v>
      </c>
      <c r="I29" s="6">
        <v>39.33</v>
      </c>
      <c r="J29" s="6">
        <v>5.1700000000000017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</row>
    <row r="30" spans="1:47" s="9" customFormat="1" ht="22.2" x14ac:dyDescent="0.3">
      <c r="A30" s="36">
        <v>45800</v>
      </c>
      <c r="B30" s="36" t="s">
        <v>4</v>
      </c>
      <c r="C30" s="6">
        <v>78.739999999999995</v>
      </c>
      <c r="D30" s="6">
        <v>4.37</v>
      </c>
      <c r="E30" s="6">
        <v>15.7</v>
      </c>
      <c r="F30" s="6">
        <v>1.17</v>
      </c>
      <c r="G30" s="50">
        <v>99.98</v>
      </c>
      <c r="H30" s="6">
        <v>38.35</v>
      </c>
      <c r="I30" s="6">
        <v>21.240000000000002</v>
      </c>
      <c r="J30" s="6">
        <v>8.5549999999999997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</row>
    <row r="31" spans="1:47" s="9" customFormat="1" ht="22.2" x14ac:dyDescent="0.3">
      <c r="A31" s="36">
        <v>45801</v>
      </c>
      <c r="B31" s="36" t="s">
        <v>5</v>
      </c>
      <c r="C31" s="6">
        <v>104.21</v>
      </c>
      <c r="D31" s="6">
        <v>5.31</v>
      </c>
      <c r="E31" s="6">
        <v>18.47</v>
      </c>
      <c r="F31" s="6">
        <v>3.44</v>
      </c>
      <c r="G31" s="50">
        <v>131.43</v>
      </c>
      <c r="H31" s="6">
        <v>31.22</v>
      </c>
      <c r="I31" s="6">
        <v>27.22</v>
      </c>
      <c r="J31" s="6">
        <v>2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</row>
    <row r="32" spans="1:47" s="9" customFormat="1" ht="22.2" x14ac:dyDescent="0.3">
      <c r="A32" s="36">
        <v>45802</v>
      </c>
      <c r="B32" s="36" t="s">
        <v>6</v>
      </c>
      <c r="C32" s="6">
        <v>0</v>
      </c>
      <c r="D32" s="37">
        <v>7.05</v>
      </c>
      <c r="E32" s="6">
        <v>0</v>
      </c>
      <c r="F32" s="6">
        <v>0</v>
      </c>
      <c r="G32" s="50">
        <v>3007.05</v>
      </c>
      <c r="H32" s="6">
        <f t="shared" ref="H32" si="2">SUM(C32:E32)</f>
        <v>7.05</v>
      </c>
      <c r="I32" s="6">
        <v>7.05</v>
      </c>
      <c r="J32" s="6">
        <v>1500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</row>
    <row r="33" spans="1:47" s="57" customFormat="1" ht="22.2" x14ac:dyDescent="0.3">
      <c r="A33" s="59" t="s">
        <v>55</v>
      </c>
      <c r="B33" s="54"/>
      <c r="C33" s="56">
        <v>3555.04</v>
      </c>
      <c r="D33" s="56">
        <v>35.299999999999997</v>
      </c>
      <c r="E33" s="56">
        <v>117.38000000000001</v>
      </c>
      <c r="F33" s="56">
        <v>11.479999999999999</v>
      </c>
      <c r="G33" s="50">
        <v>3719.2000000000003</v>
      </c>
      <c r="H33" s="56">
        <v>3241.88</v>
      </c>
      <c r="I33" s="58">
        <v>164.16000000000003</v>
      </c>
      <c r="J33" s="58">
        <v>1538.86</v>
      </c>
    </row>
    <row r="34" spans="1:47" s="9" customFormat="1" ht="22.2" x14ac:dyDescent="0.3">
      <c r="A34" s="36">
        <v>45803</v>
      </c>
      <c r="B34" s="36" t="s">
        <v>7</v>
      </c>
      <c r="C34" s="7">
        <v>144.49</v>
      </c>
      <c r="D34" s="39">
        <v>3.9</v>
      </c>
      <c r="E34" s="39">
        <v>36.03</v>
      </c>
      <c r="F34" s="39">
        <v>3.15</v>
      </c>
      <c r="G34" s="50">
        <v>187.57000000000002</v>
      </c>
      <c r="H34" s="7">
        <v>63.04</v>
      </c>
      <c r="I34" s="6">
        <v>43.08</v>
      </c>
      <c r="J34" s="6">
        <v>9.98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</row>
    <row r="35" spans="1:47" s="9" customFormat="1" ht="22.2" x14ac:dyDescent="0.3">
      <c r="A35" s="36">
        <v>45804</v>
      </c>
      <c r="B35" s="36" t="s">
        <v>8</v>
      </c>
      <c r="C35" s="7">
        <v>92.88</v>
      </c>
      <c r="D35" s="7">
        <v>5.99</v>
      </c>
      <c r="E35" s="7">
        <v>20.62</v>
      </c>
      <c r="F35" s="7">
        <v>1.58</v>
      </c>
      <c r="G35" s="50">
        <v>121.07</v>
      </c>
      <c r="H35" s="7">
        <v>47.07</v>
      </c>
      <c r="I35" s="6">
        <v>28.189999999999998</v>
      </c>
      <c r="J35" s="6">
        <v>9.4400000000000013</v>
      </c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</row>
    <row r="36" spans="1:47" s="9" customFormat="1" ht="22.2" x14ac:dyDescent="0.3">
      <c r="A36" s="36">
        <v>45805</v>
      </c>
      <c r="B36" s="36" t="s">
        <v>2</v>
      </c>
      <c r="C36" s="39">
        <v>0</v>
      </c>
      <c r="D36" s="39">
        <v>6.09</v>
      </c>
      <c r="E36" s="39">
        <v>0</v>
      </c>
      <c r="F36" s="39">
        <v>0</v>
      </c>
      <c r="G36" s="50">
        <v>6.09</v>
      </c>
      <c r="H36" s="39">
        <v>10.25</v>
      </c>
      <c r="I36" s="6">
        <v>6.09</v>
      </c>
      <c r="J36" s="6">
        <v>2.08</v>
      </c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</row>
    <row r="37" spans="1:47" s="9" customFormat="1" ht="22.2" x14ac:dyDescent="0.3">
      <c r="A37" s="36">
        <v>45806</v>
      </c>
      <c r="B37" s="36" t="s">
        <v>3</v>
      </c>
      <c r="C37" s="6">
        <v>136.38</v>
      </c>
      <c r="D37" s="6">
        <v>5.01</v>
      </c>
      <c r="E37" s="6">
        <v>32.21</v>
      </c>
      <c r="F37" s="6">
        <v>2.11</v>
      </c>
      <c r="G37" s="50">
        <v>175.71</v>
      </c>
      <c r="H37" s="6">
        <v>49.67</v>
      </c>
      <c r="I37" s="6">
        <v>39.33</v>
      </c>
      <c r="J37" s="6">
        <v>5.1700000000000017</v>
      </c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</row>
    <row r="38" spans="1:47" s="9" customFormat="1" ht="22.2" x14ac:dyDescent="0.3">
      <c r="A38" s="36">
        <v>45807</v>
      </c>
      <c r="B38" s="36" t="s">
        <v>4</v>
      </c>
      <c r="C38" s="6">
        <v>78.739999999999995</v>
      </c>
      <c r="D38" s="6">
        <v>4.37</v>
      </c>
      <c r="E38" s="6">
        <v>15.7</v>
      </c>
      <c r="F38" s="6">
        <v>1.17</v>
      </c>
      <c r="G38" s="50">
        <v>99.98</v>
      </c>
      <c r="H38" s="6">
        <v>38.35</v>
      </c>
      <c r="I38" s="6">
        <v>21.240000000000002</v>
      </c>
      <c r="J38" s="6">
        <v>8.5549999999999997</v>
      </c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</row>
    <row r="39" spans="1:47" s="9" customFormat="1" ht="22.2" x14ac:dyDescent="0.3">
      <c r="A39" s="36">
        <v>45808</v>
      </c>
      <c r="B39" s="36" t="s">
        <v>5</v>
      </c>
      <c r="C39" s="6">
        <v>104.21</v>
      </c>
      <c r="D39" s="6">
        <v>5.31</v>
      </c>
      <c r="E39" s="6">
        <v>18.47</v>
      </c>
      <c r="F39" s="6">
        <v>3.44</v>
      </c>
      <c r="G39" s="50">
        <v>131.43</v>
      </c>
      <c r="H39" s="6">
        <v>31.22</v>
      </c>
      <c r="I39" s="6">
        <v>27.22</v>
      </c>
      <c r="J39" s="6">
        <v>2</v>
      </c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</row>
    <row r="40" spans="1:47" s="9" customFormat="1" ht="22.2" x14ac:dyDescent="0.3">
      <c r="A40" s="36">
        <v>45809</v>
      </c>
      <c r="B40" s="36" t="s">
        <v>6</v>
      </c>
      <c r="C40" s="6">
        <v>0</v>
      </c>
      <c r="D40" s="37">
        <v>7.05</v>
      </c>
      <c r="E40" s="6">
        <v>0</v>
      </c>
      <c r="F40" s="6">
        <v>0</v>
      </c>
      <c r="G40" s="50">
        <v>7.05</v>
      </c>
      <c r="H40" s="6">
        <f t="shared" ref="H40" si="3">SUM(C40:E40)</f>
        <v>7.05</v>
      </c>
      <c r="I40" s="37">
        <v>7.05</v>
      </c>
      <c r="J40" s="6">
        <v>0</v>
      </c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</row>
    <row r="41" spans="1:47" s="57" customFormat="1" ht="22.2" x14ac:dyDescent="0.3">
      <c r="A41" s="59" t="s">
        <v>56</v>
      </c>
      <c r="B41" s="54"/>
      <c r="C41" s="56">
        <v>556.70000000000005</v>
      </c>
      <c r="D41" s="56">
        <v>37.72</v>
      </c>
      <c r="E41" s="56">
        <v>123.03000000000002</v>
      </c>
      <c r="F41" s="56">
        <v>11.45</v>
      </c>
      <c r="G41" s="50">
        <v>728.89999999999986</v>
      </c>
      <c r="H41" s="56">
        <v>246.65</v>
      </c>
      <c r="I41" s="58">
        <v>172.20000000000002</v>
      </c>
      <c r="J41" s="58">
        <v>37.225000000000001</v>
      </c>
    </row>
    <row r="42" spans="1:47" ht="22.2" x14ac:dyDescent="0.3">
      <c r="A42" s="43" t="s">
        <v>16</v>
      </c>
      <c r="B42" s="43"/>
      <c r="C42" s="44">
        <v>5499.12</v>
      </c>
      <c r="D42" s="44">
        <v>181.92999999999998</v>
      </c>
      <c r="E42" s="44">
        <v>412.74</v>
      </c>
      <c r="F42" s="44">
        <v>53.589999999999989</v>
      </c>
      <c r="G42" s="52">
        <v>6147.38</v>
      </c>
      <c r="H42" s="44">
        <v>4003.5800000000004</v>
      </c>
      <c r="I42" s="44">
        <v>648.26</v>
      </c>
      <c r="J42" s="44">
        <v>1677.6599999999999</v>
      </c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</row>
    <row r="43" spans="1:47" x14ac:dyDescent="0.3"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</row>
    <row r="44" spans="1:47" x14ac:dyDescent="0.3"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</row>
    <row r="45" spans="1:47" x14ac:dyDescent="0.3"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</row>
    <row r="46" spans="1:47" x14ac:dyDescent="0.3"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</row>
    <row r="47" spans="1:47" x14ac:dyDescent="0.3"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</row>
    <row r="48" spans="1:47" x14ac:dyDescent="0.3"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</row>
    <row r="49" spans="11:47" x14ac:dyDescent="0.3"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</row>
    <row r="50" spans="11:47" x14ac:dyDescent="0.3"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</row>
    <row r="51" spans="11:47" x14ac:dyDescent="0.3"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</row>
    <row r="52" spans="11:47" x14ac:dyDescent="0.3"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</row>
    <row r="53" spans="11:47" x14ac:dyDescent="0.3"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</row>
    <row r="54" spans="11:47" x14ac:dyDescent="0.3"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</row>
    <row r="55" spans="11:47" x14ac:dyDescent="0.3"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</row>
    <row r="56" spans="11:47" x14ac:dyDescent="0.3"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</row>
    <row r="57" spans="11:47" x14ac:dyDescent="0.3"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</row>
    <row r="58" spans="11:47" x14ac:dyDescent="0.3"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</row>
    <row r="59" spans="11:47" x14ac:dyDescent="0.3"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</row>
    <row r="60" spans="11:47" x14ac:dyDescent="0.3"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</row>
    <row r="61" spans="11:47" x14ac:dyDescent="0.3"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</row>
    <row r="62" spans="11:47" x14ac:dyDescent="0.3"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</row>
    <row r="63" spans="11:47" x14ac:dyDescent="0.3"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</row>
    <row r="64" spans="11:47" x14ac:dyDescent="0.3"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</row>
    <row r="65" spans="11:47" x14ac:dyDescent="0.3"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</row>
    <row r="66" spans="11:47" x14ac:dyDescent="0.3"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</row>
    <row r="67" spans="11:47" x14ac:dyDescent="0.3"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</row>
    <row r="68" spans="11:47" x14ac:dyDescent="0.3"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</row>
    <row r="69" spans="11:47" x14ac:dyDescent="0.3"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</row>
    <row r="70" spans="11:47" x14ac:dyDescent="0.3"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</row>
    <row r="71" spans="11:47" x14ac:dyDescent="0.3"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</row>
    <row r="72" spans="11:47" x14ac:dyDescent="0.3"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</row>
    <row r="73" spans="11:47" x14ac:dyDescent="0.3"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21"/>
  <sheetViews>
    <sheetView workbookViewId="0">
      <selection activeCell="A27" sqref="A27"/>
    </sheetView>
  </sheetViews>
  <sheetFormatPr defaultRowHeight="16.2" x14ac:dyDescent="0.3"/>
  <cols>
    <col min="1" max="1" width="18.21875" bestFit="1" customWidth="1"/>
    <col min="2" max="2" width="24.77734375" bestFit="1" customWidth="1"/>
    <col min="3" max="3" width="20.109375" bestFit="1" customWidth="1"/>
    <col min="4" max="4" width="25.21875" bestFit="1" customWidth="1"/>
  </cols>
  <sheetData>
    <row r="1" spans="1:4" ht="24.6" x14ac:dyDescent="0.3">
      <c r="A1" s="63" t="s">
        <v>42</v>
      </c>
      <c r="B1" s="64"/>
      <c r="C1" s="64"/>
      <c r="D1" s="65"/>
    </row>
    <row r="2" spans="1:4" ht="28.2" x14ac:dyDescent="0.3">
      <c r="A2" s="11" t="s">
        <v>17</v>
      </c>
      <c r="B2" s="12" t="s">
        <v>34</v>
      </c>
      <c r="C2" s="11" t="s">
        <v>18</v>
      </c>
      <c r="D2" s="8"/>
    </row>
    <row r="3" spans="1:4" ht="24.6" x14ac:dyDescent="0.3">
      <c r="A3" s="20" t="s">
        <v>23</v>
      </c>
      <c r="B3" s="13" t="s">
        <v>35</v>
      </c>
      <c r="C3" s="23" t="s">
        <v>19</v>
      </c>
      <c r="D3" s="14" t="s">
        <v>36</v>
      </c>
    </row>
    <row r="4" spans="1:4" ht="24.6" x14ac:dyDescent="0.3">
      <c r="A4" s="21" t="s">
        <v>24</v>
      </c>
      <c r="B4" s="28" t="s">
        <v>51</v>
      </c>
      <c r="C4" s="24" t="s">
        <v>20</v>
      </c>
      <c r="D4" s="15" t="s">
        <v>51</v>
      </c>
    </row>
    <row r="5" spans="1:4" ht="24.6" x14ac:dyDescent="0.3">
      <c r="A5" s="22" t="s">
        <v>25</v>
      </c>
      <c r="B5" s="10"/>
      <c r="C5" s="19" t="s">
        <v>21</v>
      </c>
      <c r="D5" s="16" t="s">
        <v>37</v>
      </c>
    </row>
    <row r="6" spans="1:4" ht="24.6" x14ac:dyDescent="0.3">
      <c r="A6" s="22" t="s">
        <v>26</v>
      </c>
      <c r="B6" s="29" t="s">
        <v>51</v>
      </c>
      <c r="C6" s="19" t="s">
        <v>22</v>
      </c>
      <c r="D6" s="30" t="s">
        <v>51</v>
      </c>
    </row>
    <row r="7" spans="1:4" x14ac:dyDescent="0.3">
      <c r="A7" s="2"/>
      <c r="B7" s="2"/>
      <c r="C7" s="2"/>
      <c r="D7" s="2"/>
    </row>
    <row r="8" spans="1:4" x14ac:dyDescent="0.3">
      <c r="A8" s="2"/>
      <c r="B8" s="2"/>
      <c r="C8" s="2"/>
      <c r="D8" s="2"/>
    </row>
    <row r="9" spans="1:4" ht="24.6" x14ac:dyDescent="0.3">
      <c r="A9" s="60" t="s">
        <v>27</v>
      </c>
      <c r="B9" s="61"/>
      <c r="C9" s="61"/>
      <c r="D9" s="62"/>
    </row>
    <row r="10" spans="1:4" ht="24.6" x14ac:dyDescent="0.3">
      <c r="A10" s="17" t="s">
        <v>28</v>
      </c>
      <c r="B10" s="17" t="s">
        <v>38</v>
      </c>
      <c r="C10" s="14" t="s">
        <v>30</v>
      </c>
      <c r="D10" s="14" t="s">
        <v>39</v>
      </c>
    </row>
    <row r="11" spans="1:4" ht="24.6" x14ac:dyDescent="0.3">
      <c r="A11" s="19" t="s">
        <v>29</v>
      </c>
      <c r="B11" s="32" t="s">
        <v>51</v>
      </c>
      <c r="C11" s="18" t="s">
        <v>31</v>
      </c>
      <c r="D11" s="15" t="s">
        <v>51</v>
      </c>
    </row>
    <row r="12" spans="1:4" ht="28.2" x14ac:dyDescent="0.3">
      <c r="A12" s="14" t="s">
        <v>32</v>
      </c>
      <c r="B12" s="14" t="s">
        <v>40</v>
      </c>
      <c r="C12" s="26" t="s">
        <v>41</v>
      </c>
      <c r="D12" s="27" t="s">
        <v>35</v>
      </c>
    </row>
    <row r="13" spans="1:4" ht="24.6" x14ac:dyDescent="0.3">
      <c r="A13" s="25" t="s">
        <v>33</v>
      </c>
      <c r="B13" s="30" t="s">
        <v>51</v>
      </c>
      <c r="C13" s="9"/>
      <c r="D13" s="9"/>
    </row>
    <row r="14" spans="1:4" x14ac:dyDescent="0.3">
      <c r="A14" s="9"/>
      <c r="B14" s="9"/>
      <c r="C14" s="9"/>
      <c r="D14" s="9"/>
    </row>
    <row r="15" spans="1:4" x14ac:dyDescent="0.3">
      <c r="A15" s="5"/>
      <c r="B15" s="5"/>
      <c r="C15" s="5"/>
      <c r="D15" s="5"/>
    </row>
    <row r="16" spans="1:4" ht="24.6" x14ac:dyDescent="0.3">
      <c r="A16" s="66" t="s">
        <v>43</v>
      </c>
      <c r="B16" s="67"/>
      <c r="C16" s="67"/>
      <c r="D16" s="68"/>
    </row>
    <row r="17" spans="1:4" ht="24.6" x14ac:dyDescent="0.3">
      <c r="A17" s="14" t="s">
        <v>44</v>
      </c>
      <c r="B17" s="18" t="s">
        <v>47</v>
      </c>
      <c r="C17" s="18" t="s">
        <v>48</v>
      </c>
      <c r="D17" s="27" t="s">
        <v>50</v>
      </c>
    </row>
    <row r="18" spans="1:4" ht="24.6" x14ac:dyDescent="0.3">
      <c r="A18" s="18" t="s">
        <v>45</v>
      </c>
      <c r="B18" s="31" t="s">
        <v>51</v>
      </c>
      <c r="C18" s="18" t="s">
        <v>49</v>
      </c>
      <c r="D18" s="15" t="s">
        <v>51</v>
      </c>
    </row>
    <row r="19" spans="1:4" ht="24.6" x14ac:dyDescent="0.3">
      <c r="A19" s="18" t="s">
        <v>46</v>
      </c>
      <c r="B19" s="31" t="s">
        <v>51</v>
      </c>
      <c r="C19" s="18"/>
      <c r="D19" s="2"/>
    </row>
    <row r="20" spans="1:4" ht="24.6" x14ac:dyDescent="0.3">
      <c r="A20" s="18"/>
      <c r="B20" s="18"/>
      <c r="C20" s="18"/>
      <c r="D20" s="2"/>
    </row>
    <row r="21" spans="1:4" x14ac:dyDescent="0.3">
      <c r="A21" s="2"/>
      <c r="B21" s="2"/>
      <c r="C21" s="2"/>
      <c r="D21" s="2"/>
    </row>
  </sheetData>
  <mergeCells count="3">
    <mergeCell ref="A9:D9"/>
    <mergeCell ref="A1:D1"/>
    <mergeCell ref="A16:D1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</vt:i4>
      </vt:variant>
    </vt:vector>
  </HeadingPairs>
  <TitlesOfParts>
    <vt:vector size="3" baseType="lpstr">
      <vt:lpstr>113年度4月各週統計</vt:lpstr>
      <vt:lpstr>市場車-社區定點-黑包車</vt:lpstr>
      <vt:lpstr>'113年度4月各週統計'!Print_Area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2025-05-01T08:29:09Z</dcterms:modified>
</cp:coreProperties>
</file>