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5" windowWidth="19200" windowHeight="11865"/>
  </bookViews>
  <sheets>
    <sheet name="各區中隊" sheetId="2" r:id="rId1"/>
    <sheet name="委外廠商" sheetId="3" r:id="rId2"/>
    <sheet name="資收車進廠-2月" sheetId="6" r:id="rId3"/>
    <sheet name="資收車進廠-1月" sheetId="4" r:id="rId4"/>
    <sheet name="委外廠商 (樣本)" sheetId="5" r:id="rId5"/>
    <sheet name="富立達-split" sheetId="7" r:id="rId6"/>
    <sheet name="達清-split" sheetId="8" r:id="rId7"/>
    <sheet name="統煜企業-split" sheetId="9" r:id="rId8"/>
    <sheet name="統立環保-split" sheetId="10" r:id="rId9"/>
    <sheet name="桃園中隊-split" sheetId="11" r:id="rId10"/>
  </sheets>
  <calcPr calcId="124519"/>
</workbook>
</file>

<file path=xl/calcChain.xml><?xml version="1.0" encoding="utf-8"?>
<calcChain xmlns="http://schemas.openxmlformats.org/spreadsheetml/2006/main">
  <c r="W7" i="3"/>
  <c r="W15" s="1"/>
  <c r="W8"/>
  <c r="W9"/>
  <c r="W10"/>
  <c r="W11"/>
  <c r="W12"/>
  <c r="W13"/>
  <c r="W14"/>
  <c r="L7"/>
  <c r="L8"/>
  <c r="L9"/>
  <c r="L15" s="1"/>
  <c r="L10"/>
  <c r="L11"/>
  <c r="L12"/>
  <c r="L13"/>
  <c r="L14"/>
  <c r="H7"/>
  <c r="H8"/>
  <c r="H9"/>
  <c r="H10"/>
  <c r="H15" s="1"/>
  <c r="H11"/>
  <c r="H12"/>
  <c r="H13"/>
  <c r="H14"/>
  <c r="Q15"/>
  <c r="R15"/>
  <c r="S15"/>
  <c r="T15"/>
  <c r="U15"/>
  <c r="V15"/>
  <c r="C15"/>
  <c r="D15"/>
  <c r="E15"/>
  <c r="F15"/>
  <c r="G15"/>
  <c r="I15"/>
  <c r="J15"/>
  <c r="K15"/>
  <c r="M15"/>
  <c r="N15"/>
  <c r="O15"/>
  <c r="P15"/>
  <c r="N21" i="2"/>
  <c r="N22"/>
  <c r="N23"/>
  <c r="N24"/>
  <c r="N25"/>
  <c r="P6" i="3" l="1"/>
  <c r="L4"/>
  <c r="L5"/>
  <c r="L6"/>
  <c r="L3"/>
  <c r="H4"/>
  <c r="H5"/>
  <c r="H6"/>
  <c r="H3"/>
  <c r="W4"/>
  <c r="W5"/>
  <c r="W6"/>
  <c r="W3"/>
  <c r="J3" i="11" l="1"/>
  <c r="J4" s="1"/>
  <c r="H4"/>
  <c r="F4"/>
  <c r="D4"/>
  <c r="B4"/>
  <c r="I18" i="3" l="1"/>
  <c r="G4" i="9"/>
  <c r="E4"/>
  <c r="J3"/>
  <c r="J4" s="1"/>
  <c r="J3" i="10"/>
  <c r="G4"/>
  <c r="E4"/>
  <c r="J4"/>
  <c r="K3" i="8"/>
  <c r="K4" s="1"/>
  <c r="I3" i="7"/>
  <c r="I4" i="8"/>
  <c r="G4"/>
  <c r="E4"/>
  <c r="I4" i="7"/>
  <c r="G4"/>
  <c r="E4"/>
  <c r="P4" i="3"/>
  <c r="D12" i="6"/>
  <c r="E12"/>
  <c r="C12"/>
  <c r="D38" i="4"/>
  <c r="E38"/>
  <c r="C38"/>
  <c r="D31"/>
  <c r="E31"/>
  <c r="D37"/>
  <c r="E37"/>
  <c r="C37"/>
  <c r="S4" i="3"/>
  <c r="S5"/>
  <c r="S6"/>
  <c r="S7"/>
  <c r="S8"/>
  <c r="S9"/>
  <c r="S10"/>
  <c r="S11"/>
  <c r="S12"/>
  <c r="S13"/>
  <c r="S14"/>
  <c r="S3"/>
  <c r="P5"/>
  <c r="P7"/>
  <c r="P8"/>
  <c r="P9"/>
  <c r="P10"/>
  <c r="P11"/>
  <c r="P12"/>
  <c r="P13"/>
  <c r="P14"/>
  <c r="P3"/>
  <c r="E30" i="6"/>
  <c r="E31"/>
  <c r="E32"/>
  <c r="E33"/>
  <c r="E29"/>
  <c r="E22"/>
  <c r="E23"/>
  <c r="E24"/>
  <c r="E25"/>
  <c r="E26"/>
  <c r="E27"/>
  <c r="E21"/>
  <c r="E14"/>
  <c r="E15"/>
  <c r="E16"/>
  <c r="E20" s="1"/>
  <c r="E17"/>
  <c r="E18"/>
  <c r="E19"/>
  <c r="E13"/>
  <c r="E6"/>
  <c r="E7"/>
  <c r="E8"/>
  <c r="E9"/>
  <c r="E10"/>
  <c r="E11"/>
  <c r="E5"/>
  <c r="E3"/>
  <c r="E2"/>
  <c r="D34"/>
  <c r="D28"/>
  <c r="C28"/>
  <c r="C34" s="1"/>
  <c r="D20"/>
  <c r="C20"/>
  <c r="D4"/>
  <c r="C4"/>
  <c r="E33" i="4"/>
  <c r="E34"/>
  <c r="E35"/>
  <c r="E36"/>
  <c r="E32"/>
  <c r="N20" i="2"/>
  <c r="U15" i="5"/>
  <c r="T15"/>
  <c r="S15"/>
  <c r="R15"/>
  <c r="Q15"/>
  <c r="P15"/>
  <c r="O15"/>
  <c r="N15"/>
  <c r="M15"/>
  <c r="L15"/>
  <c r="K15"/>
  <c r="J15"/>
  <c r="I15"/>
  <c r="G15"/>
  <c r="F15"/>
  <c r="D15"/>
  <c r="C15"/>
  <c r="B15"/>
  <c r="B15" i="3"/>
  <c r="E28" i="4"/>
  <c r="E29"/>
  <c r="E30"/>
  <c r="E27"/>
  <c r="E23"/>
  <c r="D23"/>
  <c r="D7"/>
  <c r="D15"/>
  <c r="E15"/>
  <c r="E7"/>
  <c r="C23"/>
  <c r="C15"/>
  <c r="C7"/>
  <c r="C31"/>
  <c r="D35" i="6" l="1"/>
  <c r="E4"/>
  <c r="E28"/>
  <c r="E34"/>
  <c r="C35"/>
  <c r="E35" l="1"/>
</calcChain>
</file>

<file path=xl/sharedStrings.xml><?xml version="1.0" encoding="utf-8"?>
<sst xmlns="http://schemas.openxmlformats.org/spreadsheetml/2006/main" count="239" uniqueCount="114">
  <si>
    <t>月份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</si>
  <si>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</si>
  <si>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</si>
  <si>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</si>
  <si>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</si>
  <si>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</si>
  <si>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</si>
  <si>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</si>
  <si>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</si>
  <si>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</si>
  <si>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</si>
  <si>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</si>
  <si>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</si>
  <si>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展望(垃圾)</t>
    <phoneticPr fontId="1" type="noConversion"/>
  </si>
  <si>
    <t>月份</t>
    <phoneticPr fontId="1" type="noConversion"/>
  </si>
  <si>
    <t>一月</t>
    <phoneticPr fontId="1" type="noConversion"/>
  </si>
  <si>
    <t>113年度各區中隊   彈簧床進廠月報表(頓)</t>
    <phoneticPr fontId="1" type="noConversion"/>
  </si>
  <si>
    <t>豐鴻實業股份有
限公司(棉絮)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</si>
  <si>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</si>
  <si>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</si>
  <si>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</si>
  <si>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</si>
  <si>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</si>
  <si>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</si>
  <si>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</si>
  <si>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</si>
  <si>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</si>
  <si>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</si>
  <si>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</si>
  <si>
    <t>騰暘營造(床墊)
-楊梅委外</t>
    <phoneticPr fontId="1" type="noConversion"/>
  </si>
  <si>
    <t>騰暘營造
(廢傢俱)</t>
    <phoneticPr fontId="1" type="noConversion"/>
  </si>
  <si>
    <t>泳霖(資收物-玻璃)</t>
    <phoneticPr fontId="1" type="noConversion"/>
  </si>
  <si>
    <t>達清公司
(非允收物)</t>
    <phoneticPr fontId="1" type="noConversion"/>
  </si>
  <si>
    <t>富立達公司
(巨大傢俱)</t>
    <phoneticPr fontId="1" type="noConversion"/>
  </si>
  <si>
    <t>富立達公司
(木料+棉絮)</t>
    <phoneticPr fontId="1" type="noConversion"/>
  </si>
  <si>
    <t>富立達公司(All)</t>
    <phoneticPr fontId="1" type="noConversion"/>
  </si>
  <si>
    <t>總計</t>
    <phoneticPr fontId="1" type="noConversion"/>
  </si>
  <si>
    <t>委外廠商　                           月報表(噸)</t>
    <phoneticPr fontId="1" type="noConversion"/>
  </si>
  <si>
    <t>桃園區中隊(彈簧床)</t>
    <phoneticPr fontId="1" type="noConversion"/>
  </si>
  <si>
    <t>中壢區中隊(彈簧床)</t>
    <phoneticPr fontId="1" type="noConversion"/>
  </si>
  <si>
    <t>平鎮區中隊(彈簧床)</t>
    <phoneticPr fontId="1" type="noConversion"/>
  </si>
  <si>
    <t>楊梅區中隊(彈簧床)</t>
    <phoneticPr fontId="1" type="noConversion"/>
  </si>
  <si>
    <t>龍潭區中隊(彈簧床)</t>
    <phoneticPr fontId="1" type="noConversion"/>
  </si>
  <si>
    <t>蘆竹區中隊(彈簧床)</t>
    <phoneticPr fontId="1" type="noConversion"/>
  </si>
  <si>
    <t>龜山區中隊(彈簧床)</t>
    <phoneticPr fontId="1" type="noConversion"/>
  </si>
  <si>
    <t>大園區中隊(彈簧床)</t>
    <phoneticPr fontId="1" type="noConversion"/>
  </si>
  <si>
    <t>大溪區中隊(彈簧床)</t>
    <phoneticPr fontId="1" type="noConversion"/>
  </si>
  <si>
    <t>觀音區中隊(彈簧床)</t>
    <phoneticPr fontId="1" type="noConversion"/>
  </si>
  <si>
    <t>新屋區中隊(彈簧床)</t>
    <phoneticPr fontId="1" type="noConversion"/>
  </si>
  <si>
    <t>復興區中隊(彈簧床)</t>
    <phoneticPr fontId="1" type="noConversion"/>
  </si>
  <si>
    <t>泳霖(舊衣)</t>
    <phoneticPr fontId="1" type="noConversion"/>
  </si>
  <si>
    <t>泳霖(塑膠料)</t>
    <phoneticPr fontId="1" type="noConversion"/>
  </si>
  <si>
    <t>泳霖(廢四機)</t>
    <phoneticPr fontId="1" type="noConversion"/>
  </si>
  <si>
    <t>永記資源回收</t>
    <phoneticPr fontId="1" type="noConversion"/>
  </si>
  <si>
    <t>各中隊每月進廠</t>
    <phoneticPr fontId="1" type="noConversion"/>
  </si>
  <si>
    <t>1-12月各隊</t>
    <phoneticPr fontId="1" type="noConversion"/>
  </si>
  <si>
    <t>114年 彈簧床進廠(噸)</t>
    <phoneticPr fontId="1" type="noConversion"/>
  </si>
  <si>
    <t>日期</t>
    <phoneticPr fontId="1" type="noConversion"/>
  </si>
  <si>
    <t>星期</t>
    <phoneticPr fontId="1" type="noConversion"/>
  </si>
  <si>
    <t>星期三</t>
  </si>
  <si>
    <t>星期四</t>
  </si>
  <si>
    <t>星期五</t>
  </si>
  <si>
    <t>星期六</t>
  </si>
  <si>
    <t>星期日</t>
  </si>
  <si>
    <t>週統計</t>
    <phoneticPr fontId="1" type="noConversion"/>
  </si>
  <si>
    <t>星期一</t>
  </si>
  <si>
    <t>星期二</t>
  </si>
  <si>
    <t>月統計</t>
    <phoneticPr fontId="1" type="noConversion"/>
  </si>
  <si>
    <t>KEK-2003</t>
    <phoneticPr fontId="1" type="noConversion"/>
  </si>
  <si>
    <t>達清公司
(打包塊)</t>
    <phoneticPr fontId="1" type="noConversion"/>
  </si>
  <si>
    <t>達清公司(ALL)</t>
    <phoneticPr fontId="1" type="noConversion"/>
  </si>
  <si>
    <t>鈞詮
(破碎鐵)</t>
    <phoneticPr fontId="1" type="noConversion"/>
  </si>
  <si>
    <t>正億
(垃圾)</t>
    <phoneticPr fontId="1" type="noConversion"/>
  </si>
  <si>
    <t>統煜
(資收物)</t>
    <phoneticPr fontId="1" type="noConversion"/>
  </si>
  <si>
    <t>泳霖
(資收物)</t>
    <phoneticPr fontId="1" type="noConversion"/>
  </si>
  <si>
    <t>嘉茂
(垃圾)</t>
    <phoneticPr fontId="1" type="noConversion"/>
  </si>
  <si>
    <t>桃園區中隊(廢傢俱)</t>
    <phoneticPr fontId="1" type="noConversion"/>
  </si>
  <si>
    <t>S</t>
    <phoneticPr fontId="1" type="noConversion"/>
  </si>
  <si>
    <t>夜班回收車</t>
    <phoneticPr fontId="1" type="noConversion"/>
  </si>
  <si>
    <t>中壢區中隊(塑膠料)</t>
    <phoneticPr fontId="1" type="noConversion"/>
  </si>
  <si>
    <t>泳霖
(玻璃)</t>
    <phoneticPr fontId="1" type="noConversion"/>
  </si>
  <si>
    <t>桃園區中隊(巨大傢俱)</t>
    <phoneticPr fontId="1" type="noConversion"/>
  </si>
  <si>
    <t>達清公司
(打包塊出廠)</t>
    <phoneticPr fontId="1" type="noConversion"/>
  </si>
  <si>
    <t>達清公司進廠(非允收、打包塊)
出廠(打包塊出廠)</t>
    <phoneticPr fontId="1" type="noConversion"/>
  </si>
  <si>
    <t>富立達公司
(巨大傢俱)進北港掩埋場
(木料+棉絮)進MT場</t>
    <phoneticPr fontId="1" type="noConversion"/>
  </si>
  <si>
    <t>說明:
桃園中隊(巨大傢俱)
協助轉運至北港掩埋場</t>
    <phoneticPr fontId="1" type="noConversion"/>
  </si>
  <si>
    <t>混彈簧床
計量</t>
    <phoneticPr fontId="1" type="noConversion"/>
  </si>
  <si>
    <t>富立達公司
(木料+棉絮)</t>
    <phoneticPr fontId="1" type="noConversion"/>
  </si>
  <si>
    <t>KG</t>
    <phoneticPr fontId="1" type="noConversion"/>
  </si>
  <si>
    <t>T</t>
    <phoneticPr fontId="1" type="noConversion"/>
  </si>
  <si>
    <t>龍潭區中隊(破碎(皮))</t>
    <phoneticPr fontId="1" type="noConversion"/>
  </si>
  <si>
    <t>桃園區中隊(破碎(皮))</t>
    <phoneticPr fontId="1" type="noConversion"/>
  </si>
  <si>
    <t>統煜企業
資收物(出廠)</t>
    <phoneticPr fontId="1" type="noConversion"/>
  </si>
  <si>
    <r>
      <t>統煜企業
(</t>
    </r>
    <r>
      <rPr>
        <sz val="22"/>
        <color theme="1"/>
        <rFont val="新細明體"/>
        <family val="1"/>
        <charset val="136"/>
        <scheme val="minor"/>
      </rPr>
      <t>非允收物</t>
    </r>
    <r>
      <rPr>
        <sz val="20"/>
        <color theme="1"/>
        <rFont val="新細明體"/>
        <family val="1"/>
        <charset val="136"/>
        <scheme val="minor"/>
      </rPr>
      <t>)</t>
    </r>
    <phoneticPr fontId="1" type="noConversion"/>
  </si>
  <si>
    <t>統煜企業(ALL)</t>
    <phoneticPr fontId="1" type="noConversion"/>
  </si>
  <si>
    <t>統立環保
資收物(出廠)</t>
    <phoneticPr fontId="1" type="noConversion"/>
  </si>
  <si>
    <r>
      <t>統立環保
(</t>
    </r>
    <r>
      <rPr>
        <sz val="22"/>
        <color theme="1"/>
        <rFont val="新細明體"/>
        <family val="1"/>
        <charset val="136"/>
        <scheme val="minor"/>
      </rPr>
      <t>非允收物</t>
    </r>
    <r>
      <rPr>
        <sz val="20"/>
        <color theme="1"/>
        <rFont val="新細明體"/>
        <family val="1"/>
        <charset val="136"/>
        <scheme val="minor"/>
      </rPr>
      <t>)</t>
    </r>
    <phoneticPr fontId="1" type="noConversion"/>
  </si>
  <si>
    <t>統立環保(ALL)</t>
    <phoneticPr fontId="1" type="noConversion"/>
  </si>
  <si>
    <t>統立
(資收物)</t>
    <phoneticPr fontId="1" type="noConversion"/>
  </si>
  <si>
    <t>統煜
(非允收物)</t>
    <phoneticPr fontId="1" type="noConversion"/>
  </si>
  <si>
    <t>統立
(非允收物)</t>
    <phoneticPr fontId="1" type="noConversion"/>
  </si>
  <si>
    <t>桃園區中隊(清道專案)</t>
    <phoneticPr fontId="1" type="noConversion"/>
  </si>
  <si>
    <t>桃園區中隊
清路專案</t>
    <phoneticPr fontId="1" type="noConversion"/>
  </si>
  <si>
    <t>桃園區中隊
破碎(皮)</t>
    <phoneticPr fontId="1" type="noConversion"/>
  </si>
  <si>
    <t>桃園區中隊
巨大傢俱</t>
    <phoneticPr fontId="1" type="noConversion"/>
  </si>
  <si>
    <t>桃園區中隊
廢傢俱</t>
    <phoneticPr fontId="1" type="noConversion"/>
  </si>
  <si>
    <t>桃園區中隊
(All)</t>
    <phoneticPr fontId="1" type="noConversion"/>
  </si>
  <si>
    <t>泳霖
(ALL)</t>
    <phoneticPr fontId="1" type="noConversion"/>
  </si>
  <si>
    <t>泳霖
打包塊出廠</t>
    <phoneticPr fontId="1" type="noConversion"/>
  </si>
  <si>
    <t>統煜
(打包塊出廠)</t>
    <phoneticPr fontId="1" type="noConversion"/>
  </si>
  <si>
    <t>統煜
(All)</t>
    <phoneticPr fontId="1" type="noConversion"/>
  </si>
  <si>
    <t>統立
(打包塊出廠)</t>
    <phoneticPr fontId="1" type="noConversion"/>
  </si>
  <si>
    <t>統立
(All)</t>
    <phoneticPr fontId="1" type="noConversion"/>
  </si>
  <si>
    <t>展望
(垃圾)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</si>
</sst>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.00_);[Red]\(0.00\)"/>
    <numFmt numFmtId="177" formatCode="m&quot;月&quot;d&quot;日&quot;"/>
    <numFmt numFmtId="178" formatCode="0.00_ "/>
    <numFmt numFmtId="179" formatCode="0.000_);[Red]\(0.000\)"/>
  </numFmts>
  <fonts count="1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8"/>
      <color theme="1"/>
      <name val="新細明體"/>
      <family val="2"/>
      <charset val="136"/>
      <scheme val="minor"/>
    </font>
    <font>
      <sz val="20"/>
      <color theme="1"/>
      <name val="新細明體"/>
      <family val="1"/>
      <charset val="136"/>
      <scheme val="minor"/>
    </font>
    <font>
      <sz val="26"/>
      <color theme="1"/>
      <name val="新細明體"/>
      <family val="2"/>
      <charset val="136"/>
      <scheme val="minor"/>
    </font>
    <font>
      <sz val="26"/>
      <color theme="1"/>
      <name val="新細明體"/>
      <family val="1"/>
      <charset val="136"/>
      <scheme val="minor"/>
    </font>
    <font>
      <sz val="20"/>
      <color theme="1"/>
      <name val="新細明體"/>
      <family val="2"/>
      <charset val="136"/>
      <scheme val="minor"/>
    </font>
    <font>
      <b/>
      <sz val="22"/>
      <color rgb="FFFF0000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6"/>
      <name val="新細明體"/>
      <family val="1"/>
      <charset val="136"/>
      <scheme val="minor"/>
    </font>
    <font>
      <sz val="16"/>
      <color rgb="FFFF0000"/>
      <name val="新細明體"/>
      <family val="2"/>
      <charset val="136"/>
      <scheme val="minor"/>
    </font>
    <font>
      <sz val="16"/>
      <color rgb="FFFF0000"/>
      <name val="新細明體"/>
      <family val="1"/>
      <charset val="136"/>
      <scheme val="minor"/>
    </font>
    <font>
      <sz val="18"/>
      <color rgb="FFFF0000"/>
      <name val="新細明體"/>
      <family val="1"/>
      <charset val="136"/>
      <scheme val="minor"/>
    </font>
    <font>
      <sz val="22"/>
      <color rgb="FFFF0000"/>
      <name val="新細明體"/>
      <family val="1"/>
      <charset val="136"/>
      <scheme val="minor"/>
    </font>
    <font>
      <sz val="22"/>
      <color theme="1"/>
      <name val="新細明體"/>
      <family val="1"/>
      <charset val="136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5" fillId="0" borderId="0" xfId="0" applyNumberFormat="1" applyFont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176" fontId="5" fillId="1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12" borderId="1" xfId="0" applyFont="1" applyFill="1" applyBorder="1" applyAlignment="1">
      <alignment horizontal="left" vertical="center"/>
    </xf>
    <xf numFmtId="0" fontId="3" fillId="12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/>
    </xf>
    <xf numFmtId="0" fontId="3" fillId="1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9" fillId="14" borderId="1" xfId="0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center" vertical="center"/>
    </xf>
    <xf numFmtId="177" fontId="9" fillId="15" borderId="1" xfId="0" applyNumberFormat="1" applyFont="1" applyFill="1" applyBorder="1" applyAlignment="1">
      <alignment horizontal="center" vertical="center"/>
    </xf>
    <xf numFmtId="176" fontId="9" fillId="15" borderId="1" xfId="0" applyNumberFormat="1" applyFont="1" applyFill="1" applyBorder="1" applyAlignment="1">
      <alignment horizontal="center" vertical="center"/>
    </xf>
    <xf numFmtId="177" fontId="9" fillId="11" borderId="1" xfId="0" applyNumberFormat="1" applyFont="1" applyFill="1" applyBorder="1" applyAlignment="1">
      <alignment horizontal="center" vertical="center"/>
    </xf>
    <xf numFmtId="177" fontId="9" fillId="12" borderId="1" xfId="0" applyNumberFormat="1" applyFont="1" applyFill="1" applyBorder="1" applyAlignment="1">
      <alignment horizontal="center" vertical="center"/>
    </xf>
    <xf numFmtId="178" fontId="10" fillId="12" borderId="1" xfId="0" applyNumberFormat="1" applyFont="1" applyFill="1" applyBorder="1" applyAlignment="1">
      <alignment horizontal="center" vertical="center"/>
    </xf>
    <xf numFmtId="177" fontId="9" fillId="7" borderId="1" xfId="0" applyNumberFormat="1" applyFont="1" applyFill="1" applyBorder="1" applyAlignment="1">
      <alignment horizontal="center" vertical="center"/>
    </xf>
    <xf numFmtId="176" fontId="10" fillId="12" borderId="1" xfId="0" applyNumberFormat="1" applyFont="1" applyFill="1" applyBorder="1" applyAlignment="1">
      <alignment horizontal="center" vertical="center"/>
    </xf>
    <xf numFmtId="177" fontId="9" fillId="16" borderId="1" xfId="0" applyNumberFormat="1" applyFont="1" applyFill="1" applyBorder="1" applyAlignment="1">
      <alignment horizontal="center" vertical="center"/>
    </xf>
    <xf numFmtId="178" fontId="10" fillId="16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>
      <alignment vertical="center"/>
    </xf>
    <xf numFmtId="0" fontId="8" fillId="17" borderId="1" xfId="0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9" fontId="3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12" fillId="0" borderId="0" xfId="0" applyFont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 wrapText="1"/>
    </xf>
    <xf numFmtId="0" fontId="3" fillId="2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179" fontId="5" fillId="0" borderId="1" xfId="0" applyNumberFormat="1" applyFont="1" applyFill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179" fontId="5" fillId="0" borderId="1" xfId="0" applyNumberFormat="1" applyFont="1" applyBorder="1" applyAlignment="1">
      <alignment horizontal="center" vertical="center"/>
    </xf>
    <xf numFmtId="179" fontId="5" fillId="0" borderId="1" xfId="0" applyNumberFormat="1" applyFont="1" applyFill="1" applyBorder="1" applyAlignment="1">
      <alignment horizontal="center" vertical="center"/>
    </xf>
    <xf numFmtId="179" fontId="13" fillId="0" borderId="1" xfId="0" applyNumberFormat="1" applyFont="1" applyFill="1" applyBorder="1" applyAlignment="1">
      <alignment horizontal="center" vertical="center" wrapText="1"/>
    </xf>
    <xf numFmtId="179" fontId="5" fillId="2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0"/>
  <sheetViews>
    <sheetView tabSelected="1" topLeftCell="A2" workbookViewId="0">
      <pane xSplit="5" ySplit="2" topLeftCell="F16" activePane="bottomRight" state="frozen"/>
      <selection activeCell="A2" sqref="A2"/>
      <selection pane="topRight" activeCell="F2" sqref="F2"/>
      <selection pane="bottomLeft" activeCell="A3" sqref="A3"/>
      <selection pane="bottomRight" activeCell="I24" sqref="I24"/>
    </sheetView>
  </sheetViews>
  <sheetFormatPr defaultRowHeight="36.75"/>
  <cols>
    <col min="1" max="1" width="33.25" style="5" bestFit="1" customWidth="1"/>
    <col min="2" max="2" width="15" style="5" bestFit="1" customWidth="1"/>
    <col min="3" max="3" width="17.125" style="5" bestFit="1" customWidth="1"/>
    <col min="4" max="5" width="17" style="5" bestFit="1" customWidth="1"/>
    <col min="6" max="7" width="10.75" style="5" bestFit="1" customWidth="1"/>
    <col min="8" max="8" width="14.75" style="5" bestFit="1" customWidth="1"/>
    <col min="9" max="9" width="17" style="5" bestFit="1" customWidth="1"/>
    <col min="10" max="11" width="14.75" style="5" bestFit="1" customWidth="1"/>
    <col min="12" max="13" width="16.5" style="5" bestFit="1" customWidth="1"/>
    <col min="14" max="14" width="23.875" style="5" bestFit="1" customWidth="1"/>
    <col min="15" max="16384" width="9" style="5"/>
  </cols>
  <sheetData>
    <row r="1" spans="1:15">
      <c r="A1" s="68" t="s">
        <v>16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</row>
    <row r="2" spans="1:15">
      <c r="A2" s="71" t="s">
        <v>56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61"/>
    </row>
    <row r="3" spans="1:15">
      <c r="A3" s="6" t="s">
        <v>14</v>
      </c>
      <c r="B3" s="6" t="s">
        <v>15</v>
      </c>
      <c r="C3" s="6" t="s">
        <v>18</v>
      </c>
      <c r="D3" s="6" t="s">
        <v>19</v>
      </c>
      <c r="E3" s="6" t="s">
        <v>20</v>
      </c>
      <c r="F3" s="6" t="s">
        <v>21</v>
      </c>
      <c r="G3" s="6" t="s">
        <v>22</v>
      </c>
      <c r="H3" s="6" t="s">
        <v>23</v>
      </c>
      <c r="I3" s="6" t="s">
        <v>24</v>
      </c>
      <c r="J3" s="6" t="s">
        <v>25</v>
      </c>
      <c r="K3" s="6" t="s">
        <v>26</v>
      </c>
      <c r="L3" s="6" t="s">
        <v>27</v>
      </c>
      <c r="M3" s="6" t="s">
        <v>28</v>
      </c>
      <c r="N3" s="7" t="s">
        <v>55</v>
      </c>
    </row>
    <row r="4" spans="1:15">
      <c r="A4" s="27" t="s">
        <v>38</v>
      </c>
      <c r="B4" s="62">
        <v>4.87</v>
      </c>
      <c r="C4" s="63">
        <v>271.14</v>
      </c>
      <c r="D4" s="59">
        <v>395.73</v>
      </c>
      <c r="E4" s="63">
        <v>410.06</v>
      </c>
      <c r="F4" s="63"/>
      <c r="G4" s="63"/>
      <c r="H4" s="63"/>
      <c r="I4" s="63"/>
      <c r="J4" s="63"/>
      <c r="K4" s="63"/>
      <c r="L4" s="63"/>
      <c r="M4" s="63"/>
      <c r="N4" s="9">
        <v>1081.8</v>
      </c>
    </row>
    <row r="5" spans="1:15">
      <c r="A5" s="27" t="s">
        <v>39</v>
      </c>
      <c r="B5" s="62">
        <v>49.32</v>
      </c>
      <c r="C5" s="63">
        <v>42.72</v>
      </c>
      <c r="D5" s="59">
        <v>44.8</v>
      </c>
      <c r="E5" s="63">
        <v>45.43</v>
      </c>
      <c r="F5" s="63"/>
      <c r="G5" s="63"/>
      <c r="H5" s="63"/>
      <c r="I5" s="63"/>
      <c r="J5" s="63"/>
      <c r="K5" s="63"/>
      <c r="L5" s="63"/>
      <c r="M5" s="63"/>
      <c r="N5" s="9">
        <v>182.26999999999998</v>
      </c>
    </row>
    <row r="6" spans="1:15">
      <c r="A6" s="28" t="s">
        <v>40</v>
      </c>
      <c r="B6" s="62">
        <v>26.97</v>
      </c>
      <c r="C6" s="63">
        <v>16.38</v>
      </c>
      <c r="D6" s="59">
        <v>21.88</v>
      </c>
      <c r="E6" s="63">
        <v>22.83</v>
      </c>
      <c r="F6" s="63"/>
      <c r="G6" s="63"/>
      <c r="H6" s="63"/>
      <c r="I6" s="63"/>
      <c r="J6" s="63"/>
      <c r="K6" s="63"/>
      <c r="L6" s="63"/>
      <c r="M6" s="63"/>
      <c r="N6" s="9">
        <v>88.059999999999988</v>
      </c>
    </row>
    <row r="7" spans="1:15">
      <c r="A7" s="19" t="s">
        <v>41</v>
      </c>
      <c r="B7" s="62">
        <v>14.03</v>
      </c>
      <c r="C7" s="63">
        <v>29.46</v>
      </c>
      <c r="D7" s="59">
        <v>21.47</v>
      </c>
      <c r="E7" s="63">
        <v>19.309999999999999</v>
      </c>
      <c r="F7" s="63"/>
      <c r="G7" s="63"/>
      <c r="H7" s="63"/>
      <c r="I7" s="63"/>
      <c r="J7" s="63"/>
      <c r="K7" s="63"/>
      <c r="L7" s="63"/>
      <c r="M7" s="63"/>
      <c r="N7" s="9">
        <v>84.27000000000001</v>
      </c>
    </row>
    <row r="8" spans="1:15">
      <c r="A8" s="19" t="s">
        <v>42</v>
      </c>
      <c r="B8" s="62">
        <v>6.55</v>
      </c>
      <c r="C8" s="63">
        <v>4</v>
      </c>
      <c r="D8" s="59">
        <v>9.64</v>
      </c>
      <c r="E8" s="63">
        <v>6.01</v>
      </c>
      <c r="F8" s="63"/>
      <c r="G8" s="63"/>
      <c r="H8" s="63"/>
      <c r="I8" s="63"/>
      <c r="J8" s="63"/>
      <c r="K8" s="63"/>
      <c r="L8" s="63"/>
      <c r="M8" s="63"/>
      <c r="N8" s="9">
        <v>26.200000000000003</v>
      </c>
    </row>
    <row r="9" spans="1:15">
      <c r="A9" s="19" t="s">
        <v>43</v>
      </c>
      <c r="B9" s="62">
        <v>27.91</v>
      </c>
      <c r="C9" s="63">
        <v>21.42</v>
      </c>
      <c r="D9" s="59">
        <v>21.98</v>
      </c>
      <c r="E9" s="63">
        <v>22.37</v>
      </c>
      <c r="F9" s="63"/>
      <c r="G9" s="63"/>
      <c r="H9" s="63"/>
      <c r="I9" s="63"/>
      <c r="J9" s="63"/>
      <c r="K9" s="63"/>
      <c r="L9" s="63"/>
      <c r="M9" s="63"/>
      <c r="N9" s="9">
        <v>93.68</v>
      </c>
    </row>
    <row r="10" spans="1:15">
      <c r="A10" s="19" t="s">
        <v>44</v>
      </c>
      <c r="B10" s="62">
        <v>12.68</v>
      </c>
      <c r="C10" s="63">
        <v>11.46</v>
      </c>
      <c r="D10" s="59">
        <v>20.059999999999999</v>
      </c>
      <c r="E10" s="63">
        <v>21.823</v>
      </c>
      <c r="F10" s="63"/>
      <c r="G10" s="63"/>
      <c r="H10" s="63"/>
      <c r="I10" s="63"/>
      <c r="J10" s="63"/>
      <c r="K10" s="63"/>
      <c r="L10" s="63"/>
      <c r="M10" s="63"/>
      <c r="N10" s="9">
        <v>66.022999999999996</v>
      </c>
    </row>
    <row r="11" spans="1:15">
      <c r="A11" s="29" t="s">
        <v>45</v>
      </c>
      <c r="B11" s="62">
        <v>13.53</v>
      </c>
      <c r="C11" s="63">
        <v>6.56</v>
      </c>
      <c r="D11" s="59">
        <v>12.8</v>
      </c>
      <c r="E11" s="63">
        <v>19.11</v>
      </c>
      <c r="F11" s="63"/>
      <c r="G11" s="63"/>
      <c r="H11" s="63"/>
      <c r="I11" s="63"/>
      <c r="J11" s="63"/>
      <c r="K11" s="63"/>
      <c r="L11" s="63"/>
      <c r="M11" s="63"/>
      <c r="N11" s="9">
        <v>52</v>
      </c>
    </row>
    <row r="12" spans="1:15">
      <c r="A12" s="29" t="s">
        <v>46</v>
      </c>
      <c r="B12" s="62">
        <v>8.48</v>
      </c>
      <c r="C12" s="63">
        <v>13.48</v>
      </c>
      <c r="D12" s="59">
        <v>4.8600000000000003</v>
      </c>
      <c r="E12" s="63">
        <v>7.04</v>
      </c>
      <c r="F12" s="63"/>
      <c r="G12" s="63"/>
      <c r="H12" s="63"/>
      <c r="I12" s="63"/>
      <c r="J12" s="63"/>
      <c r="K12" s="63"/>
      <c r="L12" s="63"/>
      <c r="M12" s="63"/>
      <c r="N12" s="9">
        <v>33.86</v>
      </c>
    </row>
    <row r="13" spans="1:15">
      <c r="A13" s="29" t="s">
        <v>47</v>
      </c>
      <c r="B13" s="62">
        <v>12.36</v>
      </c>
      <c r="C13" s="63">
        <v>8.36</v>
      </c>
      <c r="D13" s="59">
        <v>9.7899999999999991</v>
      </c>
      <c r="E13" s="63">
        <v>7.46</v>
      </c>
      <c r="F13" s="63"/>
      <c r="G13" s="63"/>
      <c r="H13" s="63"/>
      <c r="I13" s="63"/>
      <c r="J13" s="63"/>
      <c r="K13" s="63"/>
      <c r="L13" s="63"/>
      <c r="M13" s="63"/>
      <c r="N13" s="9">
        <v>37.97</v>
      </c>
    </row>
    <row r="14" spans="1:15">
      <c r="A14" s="29" t="s">
        <v>48</v>
      </c>
      <c r="B14" s="62">
        <v>7.68</v>
      </c>
      <c r="C14" s="63">
        <v>4.68</v>
      </c>
      <c r="D14" s="59">
        <v>4.4400000000000004</v>
      </c>
      <c r="E14" s="63">
        <v>3.82</v>
      </c>
      <c r="F14" s="63"/>
      <c r="G14" s="63"/>
      <c r="H14" s="63"/>
      <c r="I14" s="63"/>
      <c r="J14" s="63"/>
      <c r="K14" s="63"/>
      <c r="L14" s="63"/>
      <c r="M14" s="63"/>
      <c r="N14" s="9">
        <v>20.62</v>
      </c>
      <c r="O14" s="5">
        <v>0</v>
      </c>
    </row>
    <row r="15" spans="1:15">
      <c r="A15" s="30" t="s">
        <v>49</v>
      </c>
      <c r="B15" s="62">
        <v>2.42</v>
      </c>
      <c r="C15" s="63">
        <v>0</v>
      </c>
      <c r="D15" s="59">
        <v>2.2599999999999998</v>
      </c>
      <c r="E15" s="63">
        <v>0</v>
      </c>
      <c r="F15" s="63"/>
      <c r="G15" s="63"/>
      <c r="H15" s="63"/>
      <c r="I15" s="63"/>
      <c r="J15" s="63"/>
      <c r="K15" s="63"/>
      <c r="L15" s="63"/>
      <c r="M15" s="63"/>
      <c r="N15" s="9">
        <v>4.68</v>
      </c>
    </row>
    <row r="16" spans="1:15">
      <c r="A16" s="18" t="s">
        <v>54</v>
      </c>
      <c r="B16" s="21">
        <v>186.79999999999998</v>
      </c>
      <c r="C16" s="21">
        <v>429.66</v>
      </c>
      <c r="D16" s="21">
        <v>569.70999999999992</v>
      </c>
      <c r="E16" s="21">
        <v>585.26300000000003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9">
        <v>1771</v>
      </c>
    </row>
    <row r="17" spans="1:14">
      <c r="A17" s="20"/>
      <c r="B17" s="15"/>
      <c r="C17" s="16"/>
      <c r="D17" s="17"/>
      <c r="E17" s="16"/>
      <c r="F17" s="16"/>
      <c r="G17" s="16"/>
      <c r="H17" s="16"/>
      <c r="I17" s="16"/>
      <c r="J17" s="16"/>
      <c r="K17" s="16"/>
      <c r="L17" s="16"/>
      <c r="M17" s="16"/>
      <c r="N17" s="16"/>
    </row>
    <row r="18" spans="1:14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4" s="54" customFormat="1">
      <c r="A19" s="53" t="s">
        <v>0</v>
      </c>
      <c r="B19" s="53" t="s">
        <v>1</v>
      </c>
      <c r="C19" s="53" t="s">
        <v>2</v>
      </c>
      <c r="D19" s="53" t="s">
        <v>19</v>
      </c>
      <c r="E19" s="53" t="s">
        <v>20</v>
      </c>
      <c r="F19" s="53" t="s">
        <v>21</v>
      </c>
      <c r="G19" s="53" t="s">
        <v>22</v>
      </c>
      <c r="H19" s="53" t="s">
        <v>23</v>
      </c>
      <c r="I19" s="53" t="s">
        <v>24</v>
      </c>
      <c r="J19" s="53" t="s">
        <v>25</v>
      </c>
      <c r="K19" s="53" t="s">
        <v>26</v>
      </c>
      <c r="L19" s="53" t="s">
        <v>27</v>
      </c>
      <c r="M19" s="53" t="s">
        <v>28</v>
      </c>
      <c r="N19" s="53" t="s">
        <v>55</v>
      </c>
    </row>
    <row r="20" spans="1:14" ht="51">
      <c r="A20" s="27" t="s">
        <v>76</v>
      </c>
      <c r="B20" s="62">
        <v>20.62</v>
      </c>
      <c r="C20" s="64" t="s">
        <v>86</v>
      </c>
      <c r="D20" s="64" t="s">
        <v>86</v>
      </c>
      <c r="E20" s="64" t="s">
        <v>86</v>
      </c>
      <c r="F20" s="63"/>
      <c r="G20" s="63"/>
      <c r="H20" s="63"/>
      <c r="I20" s="63"/>
      <c r="J20" s="63"/>
      <c r="K20" s="63"/>
      <c r="L20" s="63"/>
      <c r="M20" s="63"/>
      <c r="N20" s="65">
        <f>SUM(B20:M20)</f>
        <v>20.62</v>
      </c>
    </row>
    <row r="21" spans="1:14">
      <c r="A21" s="27" t="s">
        <v>81</v>
      </c>
      <c r="B21" s="62">
        <v>0</v>
      </c>
      <c r="C21" s="63">
        <v>191.94</v>
      </c>
      <c r="D21" s="59">
        <v>347.92</v>
      </c>
      <c r="E21" s="63">
        <v>170.92</v>
      </c>
      <c r="F21" s="63"/>
      <c r="G21" s="63"/>
      <c r="H21" s="63"/>
      <c r="I21" s="63"/>
      <c r="J21" s="63"/>
      <c r="K21" s="63"/>
      <c r="L21" s="63"/>
      <c r="M21" s="63"/>
      <c r="N21" s="65">
        <f t="shared" ref="N21:N25" si="0">SUM(B21:M21)</f>
        <v>710.78</v>
      </c>
    </row>
    <row r="22" spans="1:14">
      <c r="A22" s="27" t="s">
        <v>91</v>
      </c>
      <c r="B22" s="62">
        <v>0</v>
      </c>
      <c r="C22" s="63">
        <v>0</v>
      </c>
      <c r="D22" s="59">
        <v>15.09</v>
      </c>
      <c r="E22" s="63">
        <v>17.43</v>
      </c>
      <c r="F22" s="63"/>
      <c r="G22" s="63"/>
      <c r="H22" s="63"/>
      <c r="I22" s="63"/>
      <c r="J22" s="63"/>
      <c r="K22" s="63"/>
      <c r="L22" s="63"/>
      <c r="M22" s="63"/>
      <c r="N22" s="65">
        <f t="shared" si="0"/>
        <v>32.519999999999996</v>
      </c>
    </row>
    <row r="23" spans="1:14">
      <c r="A23" s="27" t="s">
        <v>101</v>
      </c>
      <c r="B23" s="62">
        <v>0</v>
      </c>
      <c r="C23" s="63">
        <v>0</v>
      </c>
      <c r="D23" s="59">
        <v>3.85</v>
      </c>
      <c r="E23" s="63">
        <v>0</v>
      </c>
      <c r="F23" s="63"/>
      <c r="G23" s="63"/>
      <c r="H23" s="63"/>
      <c r="I23" s="63"/>
      <c r="J23" s="63"/>
      <c r="K23" s="63"/>
      <c r="L23" s="63"/>
      <c r="M23" s="63"/>
      <c r="N23" s="65">
        <f t="shared" si="0"/>
        <v>3.85</v>
      </c>
    </row>
    <row r="24" spans="1:14">
      <c r="A24" s="27" t="s">
        <v>79</v>
      </c>
      <c r="B24" s="62">
        <v>38.97</v>
      </c>
      <c r="C24" s="63">
        <v>73.91</v>
      </c>
      <c r="D24" s="59">
        <v>145.74</v>
      </c>
      <c r="E24" s="63">
        <v>120.05</v>
      </c>
      <c r="F24" s="63"/>
      <c r="G24" s="63"/>
      <c r="H24" s="63"/>
      <c r="I24" s="63"/>
      <c r="J24" s="63"/>
      <c r="K24" s="63"/>
      <c r="L24" s="63"/>
      <c r="M24" s="63"/>
      <c r="N24" s="65">
        <f t="shared" si="0"/>
        <v>378.67</v>
      </c>
    </row>
    <row r="25" spans="1:14">
      <c r="A25" s="19" t="s">
        <v>90</v>
      </c>
      <c r="B25" s="62">
        <v>1.45</v>
      </c>
      <c r="C25" s="63">
        <v>0</v>
      </c>
      <c r="D25" s="59">
        <v>0</v>
      </c>
      <c r="E25" s="63">
        <v>0</v>
      </c>
      <c r="F25" s="63"/>
      <c r="G25" s="63"/>
      <c r="H25" s="63"/>
      <c r="I25" s="63"/>
      <c r="J25" s="63"/>
      <c r="K25" s="63"/>
      <c r="L25" s="63"/>
      <c r="M25" s="63"/>
      <c r="N25" s="65">
        <f t="shared" si="0"/>
        <v>1.45</v>
      </c>
    </row>
    <row r="27" spans="1:14">
      <c r="B27" s="69" t="s">
        <v>85</v>
      </c>
      <c r="C27" s="70"/>
      <c r="D27" s="70"/>
      <c r="E27" s="70"/>
    </row>
    <row r="28" spans="1:14">
      <c r="B28" s="70"/>
      <c r="C28" s="70"/>
      <c r="D28" s="70"/>
      <c r="E28" s="70"/>
    </row>
    <row r="29" spans="1:14">
      <c r="B29" s="70"/>
      <c r="C29" s="70"/>
      <c r="D29" s="70"/>
      <c r="E29" s="70"/>
    </row>
    <row r="30" spans="1:14">
      <c r="B30" s="70"/>
      <c r="C30" s="70"/>
      <c r="D30" s="70"/>
      <c r="E30" s="70"/>
    </row>
  </sheetData>
  <mergeCells count="3">
    <mergeCell ref="A1:N1"/>
    <mergeCell ref="B27:E30"/>
    <mergeCell ref="A2:M2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W19"/>
  <sheetViews>
    <sheetView workbookViewId="0">
      <selection activeCell="A21" sqref="A21"/>
    </sheetView>
  </sheetViews>
  <sheetFormatPr defaultRowHeight="16.5"/>
  <cols>
    <col min="1" max="1" width="12.25" style="1" bestFit="1" customWidth="1"/>
    <col min="2" max="2" width="13.875" style="1" bestFit="1" customWidth="1"/>
    <col min="3" max="3" width="12" style="1" bestFit="1" customWidth="1"/>
    <col min="4" max="5" width="14.5" style="1" bestFit="1" customWidth="1"/>
    <col min="6" max="6" width="18.25" style="1" bestFit="1" customWidth="1"/>
    <col min="7" max="7" width="22" style="1" bestFit="1" customWidth="1"/>
    <col min="8" max="8" width="10.25" style="1" bestFit="1" customWidth="1"/>
    <col min="9" max="9" width="14.5" style="1" bestFit="1" customWidth="1"/>
    <col min="10" max="10" width="18.25" style="1" bestFit="1" customWidth="1"/>
    <col min="11" max="11" width="22" style="1" bestFit="1" customWidth="1"/>
    <col min="12" max="12" width="10.25" style="1" bestFit="1" customWidth="1"/>
    <col min="13" max="13" width="18.25" style="1" bestFit="1" customWidth="1"/>
    <col min="14" max="14" width="16" style="1" bestFit="1" customWidth="1"/>
    <col min="15" max="15" width="22" style="1" bestFit="1" customWidth="1"/>
    <col min="16" max="16" width="16" style="1" bestFit="1" customWidth="1"/>
    <col min="17" max="17" width="19.75" style="1" customWidth="1"/>
    <col min="18" max="18" width="20.25" style="1" customWidth="1"/>
    <col min="19" max="19" width="15.5" style="1" bestFit="1" customWidth="1"/>
    <col min="20" max="20" width="10.75" style="1" bestFit="1" customWidth="1"/>
    <col min="21" max="21" width="14.5" style="1" bestFit="1" customWidth="1"/>
    <col min="22" max="22" width="19.75" style="1" bestFit="1" customWidth="1"/>
    <col min="23" max="23" width="11.875" style="1" bestFit="1" customWidth="1"/>
    <col min="24" max="16384" width="9" style="1"/>
  </cols>
  <sheetData>
    <row r="1" spans="1:23" ht="38.25">
      <c r="A1" s="72" t="s">
        <v>37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55"/>
    </row>
    <row r="2" spans="1:23" ht="76.5" customHeight="1">
      <c r="A2" s="4" t="s">
        <v>0</v>
      </c>
      <c r="B2" s="3" t="s">
        <v>72</v>
      </c>
      <c r="C2" s="67" t="s">
        <v>113</v>
      </c>
      <c r="D2" s="57" t="s">
        <v>71</v>
      </c>
      <c r="E2" s="56" t="s">
        <v>73</v>
      </c>
      <c r="F2" s="56" t="s">
        <v>99</v>
      </c>
      <c r="G2" s="56" t="s">
        <v>109</v>
      </c>
      <c r="H2" s="56" t="s">
        <v>110</v>
      </c>
      <c r="I2" s="66" t="s">
        <v>98</v>
      </c>
      <c r="J2" s="66" t="s">
        <v>100</v>
      </c>
      <c r="K2" s="66" t="s">
        <v>111</v>
      </c>
      <c r="L2" s="66" t="s">
        <v>112</v>
      </c>
      <c r="M2" s="48" t="s">
        <v>32</v>
      </c>
      <c r="N2" s="48" t="s">
        <v>69</v>
      </c>
      <c r="O2" s="48" t="s">
        <v>82</v>
      </c>
      <c r="P2" s="48" t="s">
        <v>70</v>
      </c>
      <c r="Q2" s="49" t="s">
        <v>33</v>
      </c>
      <c r="R2" s="49" t="s">
        <v>87</v>
      </c>
      <c r="S2" s="49" t="s">
        <v>35</v>
      </c>
      <c r="T2" s="3" t="s">
        <v>80</v>
      </c>
      <c r="U2" s="3" t="s">
        <v>74</v>
      </c>
      <c r="V2" s="3" t="s">
        <v>108</v>
      </c>
      <c r="W2" s="3" t="s">
        <v>107</v>
      </c>
    </row>
    <row r="3" spans="1:23" ht="27.75">
      <c r="A3" s="4" t="s">
        <v>1</v>
      </c>
      <c r="B3" s="45">
        <v>1717.51</v>
      </c>
      <c r="C3" s="45">
        <v>0</v>
      </c>
      <c r="D3" s="45">
        <v>95.29</v>
      </c>
      <c r="E3" s="45">
        <v>20.399999999999999</v>
      </c>
      <c r="F3" s="45">
        <v>0</v>
      </c>
      <c r="G3" s="45">
        <v>0</v>
      </c>
      <c r="H3" s="45">
        <f>SUM(E3:G3)</f>
        <v>20.399999999999999</v>
      </c>
      <c r="I3" s="45">
        <v>0</v>
      </c>
      <c r="J3" s="45">
        <v>0</v>
      </c>
      <c r="K3" s="45">
        <v>0</v>
      </c>
      <c r="L3" s="45">
        <f>SUM(I3:K3)</f>
        <v>0</v>
      </c>
      <c r="M3" s="45">
        <v>69.25</v>
      </c>
      <c r="N3" s="45">
        <v>52.76</v>
      </c>
      <c r="O3" s="45">
        <v>0</v>
      </c>
      <c r="P3" s="47">
        <f>SUM(M3:N3)</f>
        <v>122.00999999999999</v>
      </c>
      <c r="Q3" s="45">
        <v>230.5</v>
      </c>
      <c r="R3" s="45">
        <v>318.86</v>
      </c>
      <c r="S3" s="45">
        <f>SUM(Q3:R3)</f>
        <v>549.36</v>
      </c>
      <c r="T3" s="45">
        <v>0</v>
      </c>
      <c r="U3" s="45">
        <v>7.3</v>
      </c>
      <c r="V3" s="4">
        <v>0</v>
      </c>
      <c r="W3" s="60">
        <f>SUM(T3:V3)</f>
        <v>7.3</v>
      </c>
    </row>
    <row r="4" spans="1:23" ht="27.75">
      <c r="A4" s="4" t="s">
        <v>2</v>
      </c>
      <c r="B4" s="45">
        <v>1010.2</v>
      </c>
      <c r="C4" s="45">
        <v>0</v>
      </c>
      <c r="D4" s="45">
        <v>80.34</v>
      </c>
      <c r="E4" s="45">
        <v>0</v>
      </c>
      <c r="F4" s="45">
        <v>0</v>
      </c>
      <c r="G4" s="45">
        <v>0</v>
      </c>
      <c r="H4" s="45">
        <f t="shared" ref="H4:H14" si="0">SUM(E4:G4)</f>
        <v>0</v>
      </c>
      <c r="I4" s="45">
        <v>0</v>
      </c>
      <c r="J4" s="45">
        <v>0</v>
      </c>
      <c r="K4" s="45">
        <v>0</v>
      </c>
      <c r="L4" s="45">
        <f t="shared" ref="L4:L14" si="1">SUM(I4:K4)</f>
        <v>0</v>
      </c>
      <c r="M4" s="45">
        <v>109.64</v>
      </c>
      <c r="N4" s="45">
        <v>31.76</v>
      </c>
      <c r="O4" s="45">
        <v>32.65</v>
      </c>
      <c r="P4" s="47">
        <f>SUM(M4:O4)</f>
        <v>174.05</v>
      </c>
      <c r="Q4" s="45">
        <v>160.78</v>
      </c>
      <c r="R4" s="47">
        <v>268.77199999999999</v>
      </c>
      <c r="S4" s="47">
        <f t="shared" ref="S4:S14" si="2">SUM(Q4:R4)</f>
        <v>429.55200000000002</v>
      </c>
      <c r="T4" s="45">
        <v>24.03</v>
      </c>
      <c r="U4" s="45">
        <v>0</v>
      </c>
      <c r="V4" s="4">
        <v>0</v>
      </c>
      <c r="W4" s="60">
        <f t="shared" ref="W4:W14" si="3">SUM(T4:V4)</f>
        <v>24.03</v>
      </c>
    </row>
    <row r="5" spans="1:23" s="11" customFormat="1" ht="27.75">
      <c r="A5" s="10" t="s">
        <v>3</v>
      </c>
      <c r="B5" s="45">
        <v>1103.9100000000001</v>
      </c>
      <c r="C5" s="45">
        <v>0</v>
      </c>
      <c r="D5" s="45">
        <v>94.68</v>
      </c>
      <c r="E5" s="45">
        <v>74.27</v>
      </c>
      <c r="F5" s="45">
        <v>23.93</v>
      </c>
      <c r="G5" s="45">
        <v>0</v>
      </c>
      <c r="H5" s="45">
        <f t="shared" si="0"/>
        <v>98.199999999999989</v>
      </c>
      <c r="I5" s="45">
        <v>16.649999999999999</v>
      </c>
      <c r="J5" s="45">
        <v>24.45</v>
      </c>
      <c r="K5" s="45">
        <v>0</v>
      </c>
      <c r="L5" s="45">
        <f t="shared" si="1"/>
        <v>41.099999999999994</v>
      </c>
      <c r="M5" s="45">
        <v>63.12</v>
      </c>
      <c r="N5" s="45">
        <v>86.87</v>
      </c>
      <c r="O5" s="45">
        <v>0</v>
      </c>
      <c r="P5" s="47">
        <f t="shared" ref="P5:P14" si="4">SUM(M5:N5)</f>
        <v>149.99</v>
      </c>
      <c r="Q5" s="45">
        <v>78.75</v>
      </c>
      <c r="R5" s="45">
        <v>591.6</v>
      </c>
      <c r="S5" s="45">
        <f t="shared" si="2"/>
        <v>670.35</v>
      </c>
      <c r="T5" s="45">
        <v>0</v>
      </c>
      <c r="U5" s="45">
        <v>91.03</v>
      </c>
      <c r="V5" s="10">
        <v>0</v>
      </c>
      <c r="W5" s="60">
        <f t="shared" si="3"/>
        <v>91.03</v>
      </c>
    </row>
    <row r="6" spans="1:23" s="26" customFormat="1" ht="27.75">
      <c r="A6" s="22" t="s">
        <v>4</v>
      </c>
      <c r="B6" s="45">
        <v>1391.1</v>
      </c>
      <c r="C6" s="45">
        <v>297.69</v>
      </c>
      <c r="D6" s="45">
        <v>85.52</v>
      </c>
      <c r="E6" s="45">
        <v>18.16</v>
      </c>
      <c r="F6" s="45">
        <v>0</v>
      </c>
      <c r="G6" s="45">
        <v>5.34</v>
      </c>
      <c r="H6" s="45">
        <f t="shared" si="0"/>
        <v>23.5</v>
      </c>
      <c r="I6" s="45">
        <v>0</v>
      </c>
      <c r="J6" s="45">
        <v>0</v>
      </c>
      <c r="K6" s="45">
        <v>11.66</v>
      </c>
      <c r="L6" s="45">
        <f t="shared" si="1"/>
        <v>11.66</v>
      </c>
      <c r="M6" s="45">
        <v>9.61</v>
      </c>
      <c r="N6" s="45">
        <v>0</v>
      </c>
      <c r="O6" s="45">
        <v>14.34</v>
      </c>
      <c r="P6" s="47">
        <f>SUM(M6:O6)</f>
        <v>23.95</v>
      </c>
      <c r="Q6" s="45">
        <v>0</v>
      </c>
      <c r="R6" s="45">
        <v>635.23</v>
      </c>
      <c r="S6" s="45">
        <f t="shared" si="2"/>
        <v>635.23</v>
      </c>
      <c r="T6" s="45">
        <v>0</v>
      </c>
      <c r="U6" s="45">
        <v>11.58</v>
      </c>
      <c r="V6" s="22">
        <v>6.63</v>
      </c>
      <c r="W6" s="60">
        <f t="shared" si="3"/>
        <v>18.21</v>
      </c>
    </row>
    <row r="7" spans="1:23" ht="27.75">
      <c r="A7" s="4" t="s">
        <v>5</v>
      </c>
      <c r="B7" s="45"/>
      <c r="C7" s="45"/>
      <c r="D7" s="45"/>
      <c r="E7" s="45"/>
      <c r="F7" s="45"/>
      <c r="G7" s="45"/>
      <c r="H7" s="45">
        <f t="shared" si="0"/>
        <v>0</v>
      </c>
      <c r="I7" s="45"/>
      <c r="J7" s="45"/>
      <c r="K7" s="45"/>
      <c r="L7" s="45">
        <f t="shared" si="1"/>
        <v>0</v>
      </c>
      <c r="M7" s="45"/>
      <c r="N7" s="45"/>
      <c r="O7" s="45"/>
      <c r="P7" s="47">
        <f t="shared" si="4"/>
        <v>0</v>
      </c>
      <c r="Q7" s="45"/>
      <c r="R7" s="45"/>
      <c r="S7" s="45">
        <f t="shared" si="2"/>
        <v>0</v>
      </c>
      <c r="T7" s="45"/>
      <c r="U7" s="45"/>
      <c r="V7" s="4"/>
      <c r="W7" s="60">
        <f t="shared" si="3"/>
        <v>0</v>
      </c>
    </row>
    <row r="8" spans="1:23" ht="27.75">
      <c r="A8" s="4" t="s">
        <v>6</v>
      </c>
      <c r="B8" s="45"/>
      <c r="C8" s="45"/>
      <c r="D8" s="45"/>
      <c r="E8" s="45"/>
      <c r="F8" s="45"/>
      <c r="G8" s="45"/>
      <c r="H8" s="45">
        <f t="shared" si="0"/>
        <v>0</v>
      </c>
      <c r="I8" s="45"/>
      <c r="J8" s="45"/>
      <c r="K8" s="45"/>
      <c r="L8" s="45">
        <f t="shared" si="1"/>
        <v>0</v>
      </c>
      <c r="M8" s="45"/>
      <c r="N8" s="45"/>
      <c r="O8" s="45"/>
      <c r="P8" s="47">
        <f t="shared" si="4"/>
        <v>0</v>
      </c>
      <c r="Q8" s="45"/>
      <c r="R8" s="45"/>
      <c r="S8" s="45">
        <f t="shared" si="2"/>
        <v>0</v>
      </c>
      <c r="T8" s="45"/>
      <c r="U8" s="45"/>
      <c r="V8" s="4"/>
      <c r="W8" s="60">
        <f t="shared" si="3"/>
        <v>0</v>
      </c>
    </row>
    <row r="9" spans="1:23" ht="27.75">
      <c r="A9" s="4" t="s">
        <v>7</v>
      </c>
      <c r="B9" s="45"/>
      <c r="C9" s="45"/>
      <c r="D9" s="45"/>
      <c r="E9" s="45"/>
      <c r="F9" s="45"/>
      <c r="G9" s="45"/>
      <c r="H9" s="45">
        <f t="shared" si="0"/>
        <v>0</v>
      </c>
      <c r="I9" s="45"/>
      <c r="J9" s="45"/>
      <c r="K9" s="45"/>
      <c r="L9" s="45">
        <f t="shared" si="1"/>
        <v>0</v>
      </c>
      <c r="M9" s="45"/>
      <c r="N9" s="45"/>
      <c r="O9" s="45"/>
      <c r="P9" s="47">
        <f t="shared" si="4"/>
        <v>0</v>
      </c>
      <c r="Q9" s="45"/>
      <c r="R9" s="45"/>
      <c r="S9" s="45">
        <f t="shared" si="2"/>
        <v>0</v>
      </c>
      <c r="T9" s="45"/>
      <c r="U9" s="45"/>
      <c r="V9" s="4"/>
      <c r="W9" s="60">
        <f t="shared" si="3"/>
        <v>0</v>
      </c>
    </row>
    <row r="10" spans="1:23" ht="27.75">
      <c r="A10" s="4" t="s">
        <v>8</v>
      </c>
      <c r="B10" s="45"/>
      <c r="C10" s="45"/>
      <c r="D10" s="45"/>
      <c r="E10" s="46"/>
      <c r="F10" s="46"/>
      <c r="G10" s="46"/>
      <c r="H10" s="45">
        <f t="shared" si="0"/>
        <v>0</v>
      </c>
      <c r="I10" s="46"/>
      <c r="J10" s="46"/>
      <c r="K10" s="46"/>
      <c r="L10" s="45">
        <f t="shared" si="1"/>
        <v>0</v>
      </c>
      <c r="M10" s="45"/>
      <c r="N10" s="45"/>
      <c r="O10" s="45"/>
      <c r="P10" s="47">
        <f t="shared" si="4"/>
        <v>0</v>
      </c>
      <c r="Q10" s="45"/>
      <c r="R10" s="45"/>
      <c r="S10" s="45">
        <f t="shared" si="2"/>
        <v>0</v>
      </c>
      <c r="T10" s="45"/>
      <c r="U10" s="45"/>
      <c r="V10" s="4"/>
      <c r="W10" s="60">
        <f t="shared" si="3"/>
        <v>0</v>
      </c>
    </row>
    <row r="11" spans="1:23" ht="27.75">
      <c r="A11" s="4" t="s">
        <v>9</v>
      </c>
      <c r="B11" s="45"/>
      <c r="C11" s="45"/>
      <c r="D11" s="45"/>
      <c r="E11" s="45"/>
      <c r="F11" s="45"/>
      <c r="G11" s="45"/>
      <c r="H11" s="45">
        <f t="shared" si="0"/>
        <v>0</v>
      </c>
      <c r="I11" s="45"/>
      <c r="J11" s="45"/>
      <c r="K11" s="45"/>
      <c r="L11" s="45">
        <f t="shared" si="1"/>
        <v>0</v>
      </c>
      <c r="M11" s="45"/>
      <c r="N11" s="45"/>
      <c r="O11" s="45"/>
      <c r="P11" s="47">
        <f t="shared" si="4"/>
        <v>0</v>
      </c>
      <c r="Q11" s="45"/>
      <c r="R11" s="45"/>
      <c r="S11" s="45">
        <f t="shared" si="2"/>
        <v>0</v>
      </c>
      <c r="T11" s="45"/>
      <c r="U11" s="45"/>
      <c r="V11" s="4"/>
      <c r="W11" s="60">
        <f t="shared" si="3"/>
        <v>0</v>
      </c>
    </row>
    <row r="12" spans="1:23" ht="27.75">
      <c r="A12" s="4" t="s">
        <v>10</v>
      </c>
      <c r="B12" s="45"/>
      <c r="C12" s="45"/>
      <c r="D12" s="45"/>
      <c r="E12" s="45"/>
      <c r="F12" s="45"/>
      <c r="G12" s="45"/>
      <c r="H12" s="45">
        <f t="shared" si="0"/>
        <v>0</v>
      </c>
      <c r="I12" s="45"/>
      <c r="J12" s="45"/>
      <c r="K12" s="45"/>
      <c r="L12" s="45">
        <f t="shared" si="1"/>
        <v>0</v>
      </c>
      <c r="M12" s="45"/>
      <c r="N12" s="45"/>
      <c r="O12" s="45"/>
      <c r="P12" s="47">
        <f t="shared" si="4"/>
        <v>0</v>
      </c>
      <c r="Q12" s="45"/>
      <c r="R12" s="45"/>
      <c r="S12" s="45">
        <f t="shared" si="2"/>
        <v>0</v>
      </c>
      <c r="T12" s="45"/>
      <c r="U12" s="45"/>
      <c r="V12" s="4"/>
      <c r="W12" s="60">
        <f t="shared" si="3"/>
        <v>0</v>
      </c>
    </row>
    <row r="13" spans="1:23" ht="27.75">
      <c r="A13" s="4" t="s">
        <v>11</v>
      </c>
      <c r="B13" s="45"/>
      <c r="C13" s="45"/>
      <c r="D13" s="45"/>
      <c r="E13" s="45"/>
      <c r="F13" s="45"/>
      <c r="G13" s="45"/>
      <c r="H13" s="45">
        <f t="shared" si="0"/>
        <v>0</v>
      </c>
      <c r="I13" s="45"/>
      <c r="J13" s="45"/>
      <c r="K13" s="45"/>
      <c r="L13" s="45">
        <f t="shared" si="1"/>
        <v>0</v>
      </c>
      <c r="M13" s="45"/>
      <c r="N13" s="45"/>
      <c r="O13" s="45"/>
      <c r="P13" s="47">
        <f t="shared" si="4"/>
        <v>0</v>
      </c>
      <c r="Q13" s="45"/>
      <c r="R13" s="45"/>
      <c r="S13" s="45">
        <f t="shared" si="2"/>
        <v>0</v>
      </c>
      <c r="T13" s="45"/>
      <c r="U13" s="45"/>
      <c r="V13" s="4"/>
      <c r="W13" s="60">
        <f t="shared" si="3"/>
        <v>0</v>
      </c>
    </row>
    <row r="14" spans="1:23" ht="27.75">
      <c r="A14" s="4" t="s">
        <v>12</v>
      </c>
      <c r="B14" s="45"/>
      <c r="C14" s="45"/>
      <c r="D14" s="45"/>
      <c r="E14" s="45"/>
      <c r="F14" s="45"/>
      <c r="G14" s="45"/>
      <c r="H14" s="45">
        <f t="shared" si="0"/>
        <v>0</v>
      </c>
      <c r="I14" s="45"/>
      <c r="J14" s="45"/>
      <c r="K14" s="45"/>
      <c r="L14" s="45">
        <f t="shared" si="1"/>
        <v>0</v>
      </c>
      <c r="M14" s="45"/>
      <c r="N14" s="45"/>
      <c r="O14" s="45"/>
      <c r="P14" s="47">
        <f t="shared" si="4"/>
        <v>0</v>
      </c>
      <c r="Q14" s="45"/>
      <c r="R14" s="45"/>
      <c r="S14" s="45">
        <f t="shared" si="2"/>
        <v>0</v>
      </c>
      <c r="T14" s="45"/>
      <c r="U14" s="45"/>
      <c r="V14" s="4"/>
      <c r="W14" s="60">
        <f t="shared" si="3"/>
        <v>0</v>
      </c>
    </row>
    <row r="15" spans="1:23" s="14" customFormat="1" ht="27.75">
      <c r="A15" s="8" t="s">
        <v>36</v>
      </c>
      <c r="B15" s="4">
        <f>SUM(B3:B14)</f>
        <v>5222.7199999999993</v>
      </c>
      <c r="C15" s="4">
        <f t="shared" ref="C15:P15" si="5">SUM(C3:C14)</f>
        <v>297.69</v>
      </c>
      <c r="D15" s="4">
        <f t="shared" si="5"/>
        <v>355.83</v>
      </c>
      <c r="E15" s="4">
        <f t="shared" si="5"/>
        <v>112.82999999999998</v>
      </c>
      <c r="F15" s="4">
        <f t="shared" si="5"/>
        <v>23.93</v>
      </c>
      <c r="G15" s="4">
        <f t="shared" si="5"/>
        <v>5.34</v>
      </c>
      <c r="H15" s="4">
        <f t="shared" si="5"/>
        <v>142.1</v>
      </c>
      <c r="I15" s="4">
        <f t="shared" si="5"/>
        <v>16.649999999999999</v>
      </c>
      <c r="J15" s="4">
        <f t="shared" si="5"/>
        <v>24.45</v>
      </c>
      <c r="K15" s="4">
        <f t="shared" si="5"/>
        <v>11.66</v>
      </c>
      <c r="L15" s="4">
        <f t="shared" si="5"/>
        <v>52.759999999999991</v>
      </c>
      <c r="M15" s="4">
        <f t="shared" si="5"/>
        <v>251.62</v>
      </c>
      <c r="N15" s="4">
        <f t="shared" si="5"/>
        <v>171.39</v>
      </c>
      <c r="O15" s="4">
        <f t="shared" si="5"/>
        <v>46.989999999999995</v>
      </c>
      <c r="P15" s="4">
        <f t="shared" si="5"/>
        <v>470</v>
      </c>
      <c r="Q15" s="4">
        <f t="shared" ref="Q15" si="6">SUM(Q3:Q14)</f>
        <v>470.03</v>
      </c>
      <c r="R15" s="4">
        <f t="shared" ref="R15" si="7">SUM(R3:R14)</f>
        <v>1814.462</v>
      </c>
      <c r="S15" s="4">
        <f t="shared" ref="S15" si="8">SUM(S3:S14)</f>
        <v>2284.4920000000002</v>
      </c>
      <c r="T15" s="4">
        <f t="shared" ref="T15" si="9">SUM(T3:T14)</f>
        <v>24.03</v>
      </c>
      <c r="U15" s="4">
        <f t="shared" ref="U15" si="10">SUM(U3:U14)</f>
        <v>109.91</v>
      </c>
      <c r="V15" s="4">
        <f t="shared" ref="V15" si="11">SUM(V3:V14)</f>
        <v>6.63</v>
      </c>
      <c r="W15" s="4">
        <f t="shared" ref="W15" si="12">SUM(W3:W14)</f>
        <v>140.57</v>
      </c>
    </row>
    <row r="16" spans="1:23" ht="21">
      <c r="M16" s="73" t="s">
        <v>83</v>
      </c>
      <c r="N16" s="74"/>
      <c r="O16" s="74"/>
      <c r="Q16" s="73" t="s">
        <v>84</v>
      </c>
      <c r="R16" s="74"/>
      <c r="S16" s="74"/>
      <c r="T16" s="52"/>
    </row>
    <row r="17" spans="9:20" ht="21">
      <c r="M17" s="75"/>
      <c r="N17" s="75"/>
      <c r="O17" s="75"/>
      <c r="Q17" s="76"/>
      <c r="R17" s="76"/>
      <c r="S17" s="76"/>
      <c r="T17" s="52"/>
    </row>
    <row r="18" spans="9:20" ht="21">
      <c r="I18" s="1">
        <f>SUM(E15,I15,U15)</f>
        <v>239.39</v>
      </c>
      <c r="M18" s="75"/>
      <c r="N18" s="75"/>
      <c r="O18" s="75"/>
      <c r="Q18" s="76"/>
      <c r="R18" s="76"/>
      <c r="S18" s="76"/>
      <c r="T18" s="52"/>
    </row>
    <row r="19" spans="9:20" ht="21">
      <c r="M19" s="75"/>
      <c r="N19" s="75"/>
      <c r="O19" s="75"/>
      <c r="Q19" s="76"/>
      <c r="R19" s="76"/>
      <c r="S19" s="76"/>
      <c r="T19" s="52"/>
    </row>
  </sheetData>
  <mergeCells count="3">
    <mergeCell ref="A1:S1"/>
    <mergeCell ref="M16:O19"/>
    <mergeCell ref="Q16:S19"/>
  </mergeCells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35"/>
  <sheetViews>
    <sheetView zoomScale="130" zoomScaleNormal="130" workbookViewId="0">
      <selection activeCell="F10" sqref="F10"/>
    </sheetView>
  </sheetViews>
  <sheetFormatPr defaultRowHeight="16.5"/>
  <cols>
    <col min="1" max="1" width="12.375" style="1" bestFit="1" customWidth="1"/>
    <col min="2" max="2" width="9.625" style="1" bestFit="1" customWidth="1"/>
    <col min="3" max="3" width="15.5" style="1" bestFit="1" customWidth="1"/>
    <col min="4" max="4" width="14.375" bestFit="1" customWidth="1"/>
    <col min="5" max="5" width="12.375" bestFit="1" customWidth="1"/>
  </cols>
  <sheetData>
    <row r="1" spans="1:5" ht="25.5">
      <c r="A1" s="31" t="s">
        <v>57</v>
      </c>
      <c r="B1" s="31" t="s">
        <v>58</v>
      </c>
      <c r="C1" s="32" t="s">
        <v>78</v>
      </c>
      <c r="D1" s="43" t="s">
        <v>68</v>
      </c>
      <c r="E1" s="44" t="s">
        <v>36</v>
      </c>
    </row>
    <row r="2" spans="1:5" ht="21">
      <c r="A2" s="33">
        <v>45689</v>
      </c>
      <c r="B2" s="33" t="s">
        <v>62</v>
      </c>
      <c r="C2" s="35">
        <v>29.38</v>
      </c>
      <c r="D2" s="35">
        <v>1.17</v>
      </c>
      <c r="E2" s="35">
        <f>SUM(C2:D2)</f>
        <v>30.549999999999997</v>
      </c>
    </row>
    <row r="3" spans="1:5" ht="21">
      <c r="A3" s="33">
        <v>45690</v>
      </c>
      <c r="B3" s="36" t="s">
        <v>63</v>
      </c>
      <c r="C3" s="35">
        <v>0</v>
      </c>
      <c r="D3" s="35">
        <v>0</v>
      </c>
      <c r="E3" s="35">
        <f>SUM(C3:D3)</f>
        <v>0</v>
      </c>
    </row>
    <row r="4" spans="1:5" ht="21">
      <c r="A4" s="37" t="s">
        <v>64</v>
      </c>
      <c r="B4" s="37"/>
      <c r="C4" s="38">
        <f>SUM(C2:C3)</f>
        <v>29.38</v>
      </c>
      <c r="D4" s="38">
        <f>SUM(D2:D3)</f>
        <v>1.17</v>
      </c>
      <c r="E4" s="38">
        <f>SUM(E2:E3)</f>
        <v>30.549999999999997</v>
      </c>
    </row>
    <row r="5" spans="1:5" ht="21">
      <c r="A5" s="33">
        <v>45691</v>
      </c>
      <c r="B5" s="33" t="s">
        <v>65</v>
      </c>
      <c r="C5" s="35">
        <v>30.62</v>
      </c>
      <c r="D5" s="35">
        <v>1.77</v>
      </c>
      <c r="E5" s="35">
        <f>SUM(C5:D5)</f>
        <v>32.39</v>
      </c>
    </row>
    <row r="6" spans="1:5" ht="21">
      <c r="A6" s="33">
        <v>45692</v>
      </c>
      <c r="B6" s="33" t="s">
        <v>66</v>
      </c>
      <c r="C6" s="35">
        <v>0</v>
      </c>
      <c r="D6" s="35">
        <v>0</v>
      </c>
      <c r="E6" s="35">
        <f t="shared" ref="E6:E33" si="0">SUM(C6:D6)</f>
        <v>0</v>
      </c>
    </row>
    <row r="7" spans="1:5" ht="21">
      <c r="A7" s="33">
        <v>45693</v>
      </c>
      <c r="B7" s="34" t="s">
        <v>59</v>
      </c>
      <c r="C7" s="35">
        <v>0</v>
      </c>
      <c r="D7" s="35">
        <v>0</v>
      </c>
      <c r="E7" s="35">
        <f t="shared" si="0"/>
        <v>0</v>
      </c>
    </row>
    <row r="8" spans="1:5" ht="21">
      <c r="A8" s="33">
        <v>45694</v>
      </c>
      <c r="B8" s="33" t="s">
        <v>60</v>
      </c>
      <c r="C8" s="35">
        <v>0</v>
      </c>
      <c r="D8" s="35">
        <v>0</v>
      </c>
      <c r="E8" s="35">
        <f t="shared" si="0"/>
        <v>0</v>
      </c>
    </row>
    <row r="9" spans="1:5" ht="21">
      <c r="A9" s="33">
        <v>45695</v>
      </c>
      <c r="B9" s="33" t="s">
        <v>61</v>
      </c>
      <c r="C9" s="35">
        <v>0</v>
      </c>
      <c r="D9" s="35">
        <v>0</v>
      </c>
      <c r="E9" s="35">
        <f t="shared" si="0"/>
        <v>0</v>
      </c>
    </row>
    <row r="10" spans="1:5" ht="21">
      <c r="A10" s="33">
        <v>45696</v>
      </c>
      <c r="B10" s="33" t="s">
        <v>62</v>
      </c>
      <c r="C10" s="35">
        <v>0</v>
      </c>
      <c r="D10" s="35">
        <v>0</v>
      </c>
      <c r="E10" s="35">
        <f t="shared" si="0"/>
        <v>0</v>
      </c>
    </row>
    <row r="11" spans="1:5" ht="21">
      <c r="A11" s="33">
        <v>45697</v>
      </c>
      <c r="B11" s="36" t="s">
        <v>63</v>
      </c>
      <c r="C11" s="35">
        <v>0</v>
      </c>
      <c r="D11" s="35">
        <v>0</v>
      </c>
      <c r="E11" s="35">
        <f t="shared" si="0"/>
        <v>0</v>
      </c>
    </row>
    <row r="12" spans="1:5" ht="21">
      <c r="A12" s="37" t="s">
        <v>64</v>
      </c>
      <c r="B12" s="37"/>
      <c r="C12" s="38">
        <f>SUM(C5:C11)</f>
        <v>30.62</v>
      </c>
      <c r="D12" s="38">
        <f t="shared" ref="D12:E12" si="1">SUM(D5:D11)</f>
        <v>1.77</v>
      </c>
      <c r="E12" s="38">
        <f t="shared" si="1"/>
        <v>32.39</v>
      </c>
    </row>
    <row r="13" spans="1:5" ht="21">
      <c r="A13" s="33">
        <v>45698</v>
      </c>
      <c r="B13" s="33" t="s">
        <v>65</v>
      </c>
      <c r="C13" s="35">
        <v>0</v>
      </c>
      <c r="D13" s="35">
        <v>0</v>
      </c>
      <c r="E13" s="35">
        <f t="shared" si="0"/>
        <v>0</v>
      </c>
    </row>
    <row r="14" spans="1:5" ht="21">
      <c r="A14" s="33">
        <v>45699</v>
      </c>
      <c r="B14" s="33" t="s">
        <v>66</v>
      </c>
      <c r="C14" s="35">
        <v>0</v>
      </c>
      <c r="D14" s="35">
        <v>0</v>
      </c>
      <c r="E14" s="35">
        <f t="shared" si="0"/>
        <v>0</v>
      </c>
    </row>
    <row r="15" spans="1:5" ht="21">
      <c r="A15" s="33">
        <v>45700</v>
      </c>
      <c r="B15" s="39" t="s">
        <v>59</v>
      </c>
      <c r="C15" s="35">
        <v>0</v>
      </c>
      <c r="D15" s="35">
        <v>0</v>
      </c>
      <c r="E15" s="35">
        <f t="shared" si="0"/>
        <v>0</v>
      </c>
    </row>
    <row r="16" spans="1:5" ht="21">
      <c r="A16" s="33">
        <v>45701</v>
      </c>
      <c r="B16" s="33" t="s">
        <v>60</v>
      </c>
      <c r="C16" s="35">
        <v>0</v>
      </c>
      <c r="D16" s="35">
        <v>0</v>
      </c>
      <c r="E16" s="35">
        <f t="shared" si="0"/>
        <v>0</v>
      </c>
    </row>
    <row r="17" spans="1:7" ht="21">
      <c r="A17" s="33">
        <v>45702</v>
      </c>
      <c r="B17" s="33" t="s">
        <v>61</v>
      </c>
      <c r="C17" s="35">
        <v>0</v>
      </c>
      <c r="D17" s="35">
        <v>0</v>
      </c>
      <c r="E17" s="35">
        <f t="shared" si="0"/>
        <v>0</v>
      </c>
    </row>
    <row r="18" spans="1:7" ht="21">
      <c r="A18" s="33">
        <v>45703</v>
      </c>
      <c r="B18" s="33" t="s">
        <v>62</v>
      </c>
      <c r="C18" s="35">
        <v>0</v>
      </c>
      <c r="D18" s="35">
        <v>0</v>
      </c>
      <c r="E18" s="35">
        <f t="shared" si="0"/>
        <v>0</v>
      </c>
    </row>
    <row r="19" spans="1:7" ht="21">
      <c r="A19" s="33">
        <v>45704</v>
      </c>
      <c r="B19" s="36" t="s">
        <v>63</v>
      </c>
      <c r="C19" s="35">
        <v>0</v>
      </c>
      <c r="D19" s="35">
        <v>0</v>
      </c>
      <c r="E19" s="35">
        <f t="shared" si="0"/>
        <v>0</v>
      </c>
    </row>
    <row r="20" spans="1:7" ht="21">
      <c r="A20" s="37" t="s">
        <v>64</v>
      </c>
      <c r="B20" s="37"/>
      <c r="C20" s="38">
        <f>SUM(C15:C19)</f>
        <v>0</v>
      </c>
      <c r="D20" s="38">
        <f>SUM(D15:D19)</f>
        <v>0</v>
      </c>
      <c r="E20" s="38">
        <f>SUM(E15:E19)</f>
        <v>0</v>
      </c>
    </row>
    <row r="21" spans="1:7" ht="21">
      <c r="A21" s="33">
        <v>45705</v>
      </c>
      <c r="B21" s="33" t="s">
        <v>65</v>
      </c>
      <c r="C21" s="35">
        <v>0</v>
      </c>
      <c r="D21" s="35">
        <v>0</v>
      </c>
      <c r="E21" s="35">
        <f t="shared" si="0"/>
        <v>0</v>
      </c>
    </row>
    <row r="22" spans="1:7" ht="21">
      <c r="A22" s="33">
        <v>45706</v>
      </c>
      <c r="B22" s="33" t="s">
        <v>66</v>
      </c>
      <c r="C22" s="35">
        <v>0</v>
      </c>
      <c r="D22" s="35">
        <v>0</v>
      </c>
      <c r="E22" s="35">
        <f t="shared" si="0"/>
        <v>0</v>
      </c>
    </row>
    <row r="23" spans="1:7" ht="21">
      <c r="A23" s="33">
        <v>45707</v>
      </c>
      <c r="B23" s="39" t="s">
        <v>59</v>
      </c>
      <c r="C23" s="35">
        <v>0</v>
      </c>
      <c r="D23" s="35">
        <v>0</v>
      </c>
      <c r="E23" s="35">
        <f t="shared" si="0"/>
        <v>0</v>
      </c>
    </row>
    <row r="24" spans="1:7" ht="21">
      <c r="A24" s="33">
        <v>45708</v>
      </c>
      <c r="B24" s="33" t="s">
        <v>60</v>
      </c>
      <c r="C24" s="35">
        <v>0</v>
      </c>
      <c r="D24" s="35">
        <v>0</v>
      </c>
      <c r="E24" s="35">
        <f t="shared" si="0"/>
        <v>0</v>
      </c>
    </row>
    <row r="25" spans="1:7" ht="21">
      <c r="A25" s="33">
        <v>45709</v>
      </c>
      <c r="B25" s="33" t="s">
        <v>61</v>
      </c>
      <c r="C25" s="35">
        <v>0</v>
      </c>
      <c r="D25" s="35">
        <v>0</v>
      </c>
      <c r="E25" s="35">
        <f t="shared" si="0"/>
        <v>0</v>
      </c>
    </row>
    <row r="26" spans="1:7" ht="21">
      <c r="A26" s="33">
        <v>45710</v>
      </c>
      <c r="B26" s="33" t="s">
        <v>62</v>
      </c>
      <c r="C26" s="35">
        <v>0</v>
      </c>
      <c r="D26" s="35">
        <v>0</v>
      </c>
      <c r="E26" s="35">
        <f t="shared" si="0"/>
        <v>0</v>
      </c>
    </row>
    <row r="27" spans="1:7" ht="21">
      <c r="A27" s="33">
        <v>45711</v>
      </c>
      <c r="B27" s="36" t="s">
        <v>63</v>
      </c>
      <c r="C27" s="35">
        <v>0</v>
      </c>
      <c r="D27" s="35">
        <v>0</v>
      </c>
      <c r="E27" s="35">
        <f t="shared" si="0"/>
        <v>0</v>
      </c>
    </row>
    <row r="28" spans="1:7" ht="21">
      <c r="A28" s="37" t="s">
        <v>64</v>
      </c>
      <c r="B28" s="37"/>
      <c r="C28" s="38">
        <f t="shared" ref="C28" si="2">SUM(C21:C27)</f>
        <v>0</v>
      </c>
      <c r="D28" s="38">
        <f>SUM(D23:D27)</f>
        <v>0</v>
      </c>
      <c r="E28" s="38">
        <f>SUM(E23:E27)</f>
        <v>0</v>
      </c>
    </row>
    <row r="29" spans="1:7" ht="21">
      <c r="A29" s="33">
        <v>45712</v>
      </c>
      <c r="B29" s="33" t="s">
        <v>65</v>
      </c>
      <c r="C29" s="35">
        <v>0</v>
      </c>
      <c r="D29" s="35">
        <v>0</v>
      </c>
      <c r="E29" s="35">
        <f t="shared" si="0"/>
        <v>0</v>
      </c>
    </row>
    <row r="30" spans="1:7" ht="21">
      <c r="A30" s="33">
        <v>45713</v>
      </c>
      <c r="B30" s="33" t="s">
        <v>66</v>
      </c>
      <c r="C30" s="35">
        <v>0</v>
      </c>
      <c r="D30" s="35">
        <v>0</v>
      </c>
      <c r="E30" s="35">
        <f t="shared" si="0"/>
        <v>0</v>
      </c>
      <c r="G30" t="s">
        <v>77</v>
      </c>
    </row>
    <row r="31" spans="1:7" ht="21">
      <c r="A31" s="33">
        <v>45714</v>
      </c>
      <c r="B31" s="33" t="s">
        <v>59</v>
      </c>
      <c r="C31" s="35">
        <v>0</v>
      </c>
      <c r="D31" s="35">
        <v>0</v>
      </c>
      <c r="E31" s="35">
        <f t="shared" si="0"/>
        <v>0</v>
      </c>
    </row>
    <row r="32" spans="1:7" ht="21">
      <c r="A32" s="33">
        <v>45715</v>
      </c>
      <c r="B32" s="33" t="s">
        <v>60</v>
      </c>
      <c r="C32" s="35">
        <v>0</v>
      </c>
      <c r="D32" s="35">
        <v>0</v>
      </c>
      <c r="E32" s="35">
        <f t="shared" si="0"/>
        <v>0</v>
      </c>
    </row>
    <row r="33" spans="1:5" ht="21">
      <c r="A33" s="33">
        <v>45716</v>
      </c>
      <c r="B33" s="33" t="s">
        <v>61</v>
      </c>
      <c r="C33" s="35">
        <v>0</v>
      </c>
      <c r="D33" s="35">
        <v>0</v>
      </c>
      <c r="E33" s="35">
        <f t="shared" si="0"/>
        <v>0</v>
      </c>
    </row>
    <row r="34" spans="1:5" ht="21">
      <c r="A34" s="37" t="s">
        <v>64</v>
      </c>
      <c r="B34" s="37"/>
      <c r="C34" s="40">
        <f>SUM(C21:C33)</f>
        <v>0</v>
      </c>
      <c r="D34" s="38">
        <f>SUM(D29:D33)</f>
        <v>0</v>
      </c>
      <c r="E34" s="38">
        <f>SUM(E29:E33)</f>
        <v>0</v>
      </c>
    </row>
    <row r="35" spans="1:5" ht="21">
      <c r="A35" s="41" t="s">
        <v>67</v>
      </c>
      <c r="B35" s="41"/>
      <c r="C35" s="42">
        <f>SUM(C4+C12+C20+C28+C34)</f>
        <v>60</v>
      </c>
      <c r="D35" s="42">
        <f>SUM(D4+D12+D20+D28+D34)</f>
        <v>2.94</v>
      </c>
      <c r="E35" s="42">
        <f>SUM(E4+E12+E20+E28+E34)</f>
        <v>62.94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38"/>
  <sheetViews>
    <sheetView topLeftCell="A25" zoomScale="130" zoomScaleNormal="130" workbookViewId="0">
      <selection activeCell="C48" sqref="C48"/>
    </sheetView>
  </sheetViews>
  <sheetFormatPr defaultRowHeight="16.5"/>
  <cols>
    <col min="1" max="1" width="12.375" style="1" bestFit="1" customWidth="1"/>
    <col min="2" max="2" width="9.625" style="1" bestFit="1" customWidth="1"/>
    <col min="3" max="3" width="15.5" style="1" bestFit="1" customWidth="1"/>
    <col min="4" max="4" width="14.375" bestFit="1" customWidth="1"/>
    <col min="5" max="5" width="12.375" bestFit="1" customWidth="1"/>
  </cols>
  <sheetData>
    <row r="1" spans="1:5" ht="25.5">
      <c r="A1" s="31" t="s">
        <v>57</v>
      </c>
      <c r="B1" s="31" t="s">
        <v>58</v>
      </c>
      <c r="C1" s="32" t="s">
        <v>78</v>
      </c>
      <c r="D1" s="43" t="s">
        <v>68</v>
      </c>
      <c r="E1" s="44" t="s">
        <v>36</v>
      </c>
    </row>
    <row r="2" spans="1:5" ht="21">
      <c r="A2" s="33">
        <v>45658</v>
      </c>
      <c r="B2" s="34" t="s">
        <v>59</v>
      </c>
      <c r="C2" s="35">
        <v>0</v>
      </c>
      <c r="D2" s="35">
        <v>0</v>
      </c>
      <c r="E2" s="35">
        <v>0</v>
      </c>
    </row>
    <row r="3" spans="1:5" ht="21">
      <c r="A3" s="33">
        <v>45659</v>
      </c>
      <c r="B3" s="33" t="s">
        <v>60</v>
      </c>
      <c r="C3" s="35">
        <v>0</v>
      </c>
      <c r="D3" s="35">
        <v>0</v>
      </c>
      <c r="E3" s="35">
        <v>0</v>
      </c>
    </row>
    <row r="4" spans="1:5" ht="21">
      <c r="A4" s="33">
        <v>45660</v>
      </c>
      <c r="B4" s="33" t="s">
        <v>61</v>
      </c>
      <c r="C4" s="35">
        <v>0</v>
      </c>
      <c r="D4" s="35">
        <v>0</v>
      </c>
      <c r="E4" s="35">
        <v>0</v>
      </c>
    </row>
    <row r="5" spans="1:5" ht="21">
      <c r="A5" s="33">
        <v>45661</v>
      </c>
      <c r="B5" s="33" t="s">
        <v>62</v>
      </c>
      <c r="C5" s="35">
        <v>0</v>
      </c>
      <c r="D5" s="35">
        <v>0</v>
      </c>
      <c r="E5" s="35">
        <v>0</v>
      </c>
    </row>
    <row r="6" spans="1:5" ht="21">
      <c r="A6" s="33">
        <v>45662</v>
      </c>
      <c r="B6" s="36" t="s">
        <v>63</v>
      </c>
      <c r="C6" s="35">
        <v>0</v>
      </c>
      <c r="D6" s="35">
        <v>0</v>
      </c>
      <c r="E6" s="35">
        <v>0</v>
      </c>
    </row>
    <row r="7" spans="1:5" ht="21">
      <c r="A7" s="37" t="s">
        <v>64</v>
      </c>
      <c r="B7" s="37"/>
      <c r="C7" s="38">
        <f>SUM(C2:C6)</f>
        <v>0</v>
      </c>
      <c r="D7" s="38">
        <f>SUM(D2:D6)</f>
        <v>0</v>
      </c>
      <c r="E7" s="38">
        <f>SUM(E2:E6)</f>
        <v>0</v>
      </c>
    </row>
    <row r="8" spans="1:5" ht="21">
      <c r="A8" s="33">
        <v>45663</v>
      </c>
      <c r="B8" s="33" t="s">
        <v>65</v>
      </c>
      <c r="C8" s="35">
        <v>0</v>
      </c>
      <c r="D8" s="35">
        <v>0</v>
      </c>
      <c r="E8" s="35">
        <v>0</v>
      </c>
    </row>
    <row r="9" spans="1:5" ht="21">
      <c r="A9" s="33">
        <v>45664</v>
      </c>
      <c r="B9" s="33" t="s">
        <v>66</v>
      </c>
      <c r="C9" s="35">
        <v>0</v>
      </c>
      <c r="D9" s="35">
        <v>0</v>
      </c>
      <c r="E9" s="35">
        <v>0</v>
      </c>
    </row>
    <row r="10" spans="1:5" ht="21">
      <c r="A10" s="33">
        <v>45665</v>
      </c>
      <c r="B10" s="34" t="s">
        <v>59</v>
      </c>
      <c r="C10" s="35">
        <v>0</v>
      </c>
      <c r="D10" s="35">
        <v>0</v>
      </c>
      <c r="E10" s="35">
        <v>0</v>
      </c>
    </row>
    <row r="11" spans="1:5" ht="21">
      <c r="A11" s="33">
        <v>45666</v>
      </c>
      <c r="B11" s="33" t="s">
        <v>60</v>
      </c>
      <c r="C11" s="35">
        <v>0</v>
      </c>
      <c r="D11" s="35">
        <v>0</v>
      </c>
      <c r="E11" s="35">
        <v>0</v>
      </c>
    </row>
    <row r="12" spans="1:5" ht="21">
      <c r="A12" s="33">
        <v>45667</v>
      </c>
      <c r="B12" s="33" t="s">
        <v>61</v>
      </c>
      <c r="C12" s="35">
        <v>0</v>
      </c>
      <c r="D12" s="35">
        <v>0</v>
      </c>
      <c r="E12" s="35">
        <v>0</v>
      </c>
    </row>
    <row r="13" spans="1:5" ht="21">
      <c r="A13" s="33">
        <v>45668</v>
      </c>
      <c r="B13" s="33" t="s">
        <v>62</v>
      </c>
      <c r="C13" s="35">
        <v>0</v>
      </c>
      <c r="D13" s="35">
        <v>0</v>
      </c>
      <c r="E13" s="35">
        <v>0</v>
      </c>
    </row>
    <row r="14" spans="1:5" ht="21">
      <c r="A14" s="33">
        <v>45669</v>
      </c>
      <c r="B14" s="36" t="s">
        <v>63</v>
      </c>
      <c r="C14" s="35">
        <v>0</v>
      </c>
      <c r="D14" s="35">
        <v>0</v>
      </c>
      <c r="E14" s="35">
        <v>0</v>
      </c>
    </row>
    <row r="15" spans="1:5" ht="21">
      <c r="A15" s="37" t="s">
        <v>64</v>
      </c>
      <c r="B15" s="37"/>
      <c r="C15" s="38">
        <f>SUM(C10:C14)</f>
        <v>0</v>
      </c>
      <c r="D15" s="38">
        <f>SUM(D10:D14)</f>
        <v>0</v>
      </c>
      <c r="E15" s="38">
        <f>SUM(E10:E14)</f>
        <v>0</v>
      </c>
    </row>
    <row r="16" spans="1:5" ht="21">
      <c r="A16" s="33">
        <v>45670</v>
      </c>
      <c r="B16" s="33" t="s">
        <v>65</v>
      </c>
      <c r="C16" s="35">
        <v>0</v>
      </c>
      <c r="D16" s="35">
        <v>0</v>
      </c>
      <c r="E16" s="35">
        <v>0</v>
      </c>
    </row>
    <row r="17" spans="1:5" ht="21">
      <c r="A17" s="33">
        <v>45671</v>
      </c>
      <c r="B17" s="33" t="s">
        <v>66</v>
      </c>
      <c r="C17" s="35">
        <v>0</v>
      </c>
      <c r="D17" s="35">
        <v>0</v>
      </c>
      <c r="E17" s="35">
        <v>0</v>
      </c>
    </row>
    <row r="18" spans="1:5" ht="21">
      <c r="A18" s="33">
        <v>45672</v>
      </c>
      <c r="B18" s="39" t="s">
        <v>59</v>
      </c>
      <c r="C18" s="35">
        <v>0</v>
      </c>
      <c r="D18" s="35">
        <v>0</v>
      </c>
      <c r="E18" s="35">
        <v>0</v>
      </c>
    </row>
    <row r="19" spans="1:5" ht="21">
      <c r="A19" s="33">
        <v>45673</v>
      </c>
      <c r="B19" s="33" t="s">
        <v>60</v>
      </c>
      <c r="C19" s="35">
        <v>0</v>
      </c>
      <c r="D19" s="35">
        <v>0</v>
      </c>
      <c r="E19" s="35">
        <v>0</v>
      </c>
    </row>
    <row r="20" spans="1:5" ht="21">
      <c r="A20" s="33">
        <v>45674</v>
      </c>
      <c r="B20" s="33" t="s">
        <v>61</v>
      </c>
      <c r="C20" s="35">
        <v>0</v>
      </c>
      <c r="D20" s="35">
        <v>0</v>
      </c>
      <c r="E20" s="35">
        <v>0</v>
      </c>
    </row>
    <row r="21" spans="1:5" ht="21">
      <c r="A21" s="33">
        <v>45675</v>
      </c>
      <c r="B21" s="33" t="s">
        <v>62</v>
      </c>
      <c r="C21" s="35">
        <v>0</v>
      </c>
      <c r="D21" s="35">
        <v>0</v>
      </c>
      <c r="E21" s="35">
        <v>0</v>
      </c>
    </row>
    <row r="22" spans="1:5" ht="21">
      <c r="A22" s="33">
        <v>45676</v>
      </c>
      <c r="B22" s="36" t="s">
        <v>63</v>
      </c>
      <c r="C22" s="35">
        <v>0</v>
      </c>
      <c r="D22" s="35">
        <v>0</v>
      </c>
      <c r="E22" s="35">
        <v>0</v>
      </c>
    </row>
    <row r="23" spans="1:5" ht="21">
      <c r="A23" s="37" t="s">
        <v>64</v>
      </c>
      <c r="B23" s="37"/>
      <c r="C23" s="38">
        <f>SUM(C18:C22)</f>
        <v>0</v>
      </c>
      <c r="D23" s="38">
        <f>SUM(D18:D22)</f>
        <v>0</v>
      </c>
      <c r="E23" s="38">
        <f>SUM(E18:E22)</f>
        <v>0</v>
      </c>
    </row>
    <row r="24" spans="1:5" ht="21">
      <c r="A24" s="33">
        <v>45677</v>
      </c>
      <c r="B24" s="33" t="s">
        <v>65</v>
      </c>
      <c r="C24" s="35">
        <v>0</v>
      </c>
      <c r="D24" s="35">
        <v>0</v>
      </c>
      <c r="E24" s="35">
        <v>0</v>
      </c>
    </row>
    <row r="25" spans="1:5" ht="21">
      <c r="A25" s="33">
        <v>45678</v>
      </c>
      <c r="B25" s="33" t="s">
        <v>66</v>
      </c>
      <c r="C25" s="35">
        <v>0</v>
      </c>
      <c r="D25" s="35">
        <v>0</v>
      </c>
      <c r="E25" s="35">
        <v>0</v>
      </c>
    </row>
    <row r="26" spans="1:5" ht="21">
      <c r="A26" s="33">
        <v>45679</v>
      </c>
      <c r="B26" s="39" t="s">
        <v>59</v>
      </c>
      <c r="C26" s="35">
        <v>0</v>
      </c>
      <c r="D26" s="35">
        <v>0</v>
      </c>
      <c r="E26" s="35">
        <v>0</v>
      </c>
    </row>
    <row r="27" spans="1:5" ht="21">
      <c r="A27" s="33">
        <v>45680</v>
      </c>
      <c r="B27" s="33" t="s">
        <v>60</v>
      </c>
      <c r="C27" s="35">
        <v>38.47</v>
      </c>
      <c r="D27" s="35">
        <v>2.27</v>
      </c>
      <c r="E27" s="35">
        <f>SUM(C27:D27)</f>
        <v>40.74</v>
      </c>
    </row>
    <row r="28" spans="1:5" ht="21">
      <c r="A28" s="33">
        <v>45681</v>
      </c>
      <c r="B28" s="33" t="s">
        <v>61</v>
      </c>
      <c r="C28" s="35">
        <v>26.33</v>
      </c>
      <c r="D28" s="35">
        <v>1.25</v>
      </c>
      <c r="E28" s="35">
        <f t="shared" ref="E28:E36" si="0">SUM(C28:D28)</f>
        <v>27.58</v>
      </c>
    </row>
    <row r="29" spans="1:5" ht="21">
      <c r="A29" s="33">
        <v>45682</v>
      </c>
      <c r="B29" s="33" t="s">
        <v>62</v>
      </c>
      <c r="C29" s="35">
        <v>37.51</v>
      </c>
      <c r="D29" s="35">
        <v>1.03</v>
      </c>
      <c r="E29" s="35">
        <f t="shared" si="0"/>
        <v>38.54</v>
      </c>
    </row>
    <row r="30" spans="1:5" ht="21">
      <c r="A30" s="33">
        <v>45683</v>
      </c>
      <c r="B30" s="36" t="s">
        <v>63</v>
      </c>
      <c r="C30" s="35">
        <v>32.619999999999997</v>
      </c>
      <c r="D30" s="35">
        <v>0.81</v>
      </c>
      <c r="E30" s="35">
        <f t="shared" si="0"/>
        <v>33.43</v>
      </c>
    </row>
    <row r="31" spans="1:5" ht="21">
      <c r="A31" s="37" t="s">
        <v>64</v>
      </c>
      <c r="B31" s="37"/>
      <c r="C31" s="38">
        <f t="shared" ref="C31:E31" si="1">SUM(C24:C30)</f>
        <v>134.93</v>
      </c>
      <c r="D31" s="38">
        <f t="shared" si="1"/>
        <v>5.3599999999999994</v>
      </c>
      <c r="E31" s="38">
        <f t="shared" si="1"/>
        <v>140.29</v>
      </c>
    </row>
    <row r="32" spans="1:5" ht="21">
      <c r="A32" s="33">
        <v>45684</v>
      </c>
      <c r="B32" s="33" t="s">
        <v>65</v>
      </c>
      <c r="C32" s="35">
        <v>39.159999999999997</v>
      </c>
      <c r="D32" s="35">
        <v>2.9</v>
      </c>
      <c r="E32" s="35">
        <f t="shared" si="0"/>
        <v>42.059999999999995</v>
      </c>
    </row>
    <row r="33" spans="1:8" ht="21">
      <c r="A33" s="33">
        <v>45685</v>
      </c>
      <c r="B33" s="33" t="s">
        <v>66</v>
      </c>
      <c r="C33" s="35">
        <v>22.6</v>
      </c>
      <c r="D33" s="35">
        <v>0.86</v>
      </c>
      <c r="E33" s="35">
        <f t="shared" si="0"/>
        <v>23.46</v>
      </c>
      <c r="G33" t="s">
        <v>77</v>
      </c>
    </row>
    <row r="34" spans="1:8" ht="21">
      <c r="A34" s="33">
        <v>45686</v>
      </c>
      <c r="B34" s="33" t="s">
        <v>59</v>
      </c>
      <c r="C34" s="35">
        <v>0</v>
      </c>
      <c r="D34" s="35">
        <v>0</v>
      </c>
      <c r="E34" s="35">
        <f t="shared" si="0"/>
        <v>0</v>
      </c>
    </row>
    <row r="35" spans="1:8" ht="21">
      <c r="A35" s="33">
        <v>45687</v>
      </c>
      <c r="B35" s="33" t="s">
        <v>60</v>
      </c>
      <c r="C35" s="35">
        <v>0</v>
      </c>
      <c r="D35" s="35">
        <v>0</v>
      </c>
      <c r="E35" s="35">
        <f t="shared" si="0"/>
        <v>0</v>
      </c>
      <c r="H35" t="s">
        <v>77</v>
      </c>
    </row>
    <row r="36" spans="1:8" ht="21">
      <c r="A36" s="33">
        <v>45688</v>
      </c>
      <c r="B36" s="33" t="s">
        <v>61</v>
      </c>
      <c r="C36" s="35">
        <v>0</v>
      </c>
      <c r="D36" s="35">
        <v>0</v>
      </c>
      <c r="E36" s="35">
        <f t="shared" si="0"/>
        <v>0</v>
      </c>
    </row>
    <row r="37" spans="1:8" ht="21">
      <c r="A37" s="37" t="s">
        <v>64</v>
      </c>
      <c r="B37" s="37"/>
      <c r="C37" s="40">
        <f>SUM(C32:C36)</f>
        <v>61.76</v>
      </c>
      <c r="D37" s="40">
        <f t="shared" ref="D37:E37" si="2">SUM(D32:D36)</f>
        <v>3.76</v>
      </c>
      <c r="E37" s="40">
        <f t="shared" si="2"/>
        <v>65.52</v>
      </c>
    </row>
    <row r="38" spans="1:8" ht="21">
      <c r="A38" s="41" t="s">
        <v>67</v>
      </c>
      <c r="B38" s="41"/>
      <c r="C38" s="42">
        <f>SUM(C31+C37)</f>
        <v>196.69</v>
      </c>
      <c r="D38" s="42">
        <f t="shared" ref="D38:E38" si="3">SUM(D31+D37)</f>
        <v>9.1199999999999992</v>
      </c>
      <c r="E38" s="42">
        <f t="shared" si="3"/>
        <v>205.81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W16"/>
  <sheetViews>
    <sheetView topLeftCell="H1" workbookViewId="0">
      <selection activeCell="N8" sqref="N8"/>
    </sheetView>
  </sheetViews>
  <sheetFormatPr defaultRowHeight="16.5"/>
  <cols>
    <col min="1" max="1" width="12.25" style="1" bestFit="1" customWidth="1"/>
    <col min="2" max="2" width="10.75" style="1" bestFit="1" customWidth="1"/>
    <col min="3" max="5" width="14.5" style="1" bestFit="1" customWidth="1"/>
    <col min="6" max="6" width="18.25" style="1" bestFit="1" customWidth="1"/>
    <col min="7" max="8" width="16" style="1" bestFit="1" customWidth="1"/>
    <col min="9" max="9" width="19.75" style="1" customWidth="1"/>
    <col min="10" max="10" width="20.25" style="1" customWidth="1"/>
    <col min="11" max="11" width="15.25" style="1" customWidth="1"/>
    <col min="12" max="12" width="10.75" style="1" bestFit="1" customWidth="1"/>
    <col min="13" max="13" width="17.125" style="1" bestFit="1" customWidth="1"/>
    <col min="14" max="15" width="17.125" style="1" customWidth="1"/>
    <col min="16" max="17" width="18.25" style="1" bestFit="1" customWidth="1"/>
    <col min="18" max="18" width="23.5" style="1" bestFit="1" customWidth="1"/>
    <col min="19" max="19" width="27.25" style="1" customWidth="1"/>
    <col min="20" max="20" width="16" style="1" customWidth="1"/>
    <col min="21" max="21" width="25.75" style="1" bestFit="1" customWidth="1"/>
    <col min="22" max="16384" width="9" style="1"/>
  </cols>
  <sheetData>
    <row r="1" spans="1:23" ht="38.25">
      <c r="A1" s="72" t="s">
        <v>37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</row>
    <row r="2" spans="1:23" ht="76.5" customHeight="1">
      <c r="A2" s="4" t="s">
        <v>0</v>
      </c>
      <c r="B2" s="3" t="s">
        <v>72</v>
      </c>
      <c r="C2" s="3" t="s">
        <v>71</v>
      </c>
      <c r="D2" s="3" t="s">
        <v>73</v>
      </c>
      <c r="E2" s="3" t="s">
        <v>74</v>
      </c>
      <c r="F2" s="3" t="s">
        <v>32</v>
      </c>
      <c r="G2" s="3" t="s">
        <v>69</v>
      </c>
      <c r="H2" s="3" t="s">
        <v>70</v>
      </c>
      <c r="I2" s="3" t="s">
        <v>33</v>
      </c>
      <c r="J2" s="3" t="s">
        <v>34</v>
      </c>
      <c r="K2" s="3" t="s">
        <v>35</v>
      </c>
      <c r="L2" s="3" t="s">
        <v>75</v>
      </c>
      <c r="M2" s="3" t="s">
        <v>31</v>
      </c>
      <c r="N2" s="3" t="s">
        <v>52</v>
      </c>
      <c r="O2" s="3" t="s">
        <v>51</v>
      </c>
      <c r="P2" s="3" t="s">
        <v>50</v>
      </c>
      <c r="Q2" s="2" t="s">
        <v>13</v>
      </c>
      <c r="R2" s="2" t="s">
        <v>53</v>
      </c>
      <c r="S2" s="3" t="s">
        <v>17</v>
      </c>
      <c r="T2" s="3" t="s">
        <v>30</v>
      </c>
      <c r="U2" s="3" t="s">
        <v>29</v>
      </c>
    </row>
    <row r="3" spans="1:23" ht="27.75">
      <c r="A3" s="4" t="s">
        <v>1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3"/>
    </row>
    <row r="4" spans="1:23" ht="27.75">
      <c r="A4" s="4" t="s">
        <v>2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3"/>
    </row>
    <row r="5" spans="1:23" s="11" customFormat="1" ht="27.75">
      <c r="A5" s="10" t="s">
        <v>3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3"/>
    </row>
    <row r="6" spans="1:23" s="12" customFormat="1" ht="27.75">
      <c r="A6" s="22" t="s">
        <v>4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6"/>
      <c r="W6" s="26"/>
    </row>
    <row r="7" spans="1:23" ht="27.75">
      <c r="A7" s="4" t="s">
        <v>5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3"/>
    </row>
    <row r="8" spans="1:23" ht="27.75">
      <c r="A8" s="4" t="s">
        <v>6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3"/>
    </row>
    <row r="9" spans="1:23" ht="27.75">
      <c r="A9" s="4" t="s">
        <v>7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3"/>
    </row>
    <row r="10" spans="1:23" ht="27.75">
      <c r="A10" s="4" t="s">
        <v>8</v>
      </c>
      <c r="B10" s="22"/>
      <c r="C10" s="22"/>
      <c r="D10" s="23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3"/>
      <c r="R10" s="22"/>
      <c r="S10" s="23"/>
      <c r="T10" s="23"/>
      <c r="U10" s="23"/>
    </row>
    <row r="11" spans="1:23" ht="27.75">
      <c r="A11" s="4" t="s">
        <v>9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</row>
    <row r="12" spans="1:23" ht="27.75">
      <c r="A12" s="4" t="s">
        <v>10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4"/>
    </row>
    <row r="13" spans="1:23" ht="27.75">
      <c r="A13" s="4" t="s">
        <v>11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3"/>
    </row>
    <row r="14" spans="1:23" ht="27.75">
      <c r="A14" s="4" t="s">
        <v>12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5"/>
    </row>
    <row r="15" spans="1:23" s="14" customFormat="1" ht="27.75">
      <c r="A15" s="8" t="s">
        <v>36</v>
      </c>
      <c r="B15" s="4">
        <f>SUM(B3:B14)</f>
        <v>0</v>
      </c>
      <c r="C15" s="4">
        <f t="shared" ref="C15" si="0">SUM(C3:C14)</f>
        <v>0</v>
      </c>
      <c r="D15" s="4">
        <f>SUM(D3:D14)</f>
        <v>0</v>
      </c>
      <c r="E15" s="4">
        <v>0</v>
      </c>
      <c r="F15" s="4">
        <f>SUM(F3:F14)</f>
        <v>0</v>
      </c>
      <c r="G15" s="4">
        <f>SUM(G3:G14)</f>
        <v>0</v>
      </c>
      <c r="H15" s="4"/>
      <c r="I15" s="4">
        <f t="shared" ref="I15:T15" si="1">SUM(I3:I14)</f>
        <v>0</v>
      </c>
      <c r="J15" s="4">
        <f t="shared" si="1"/>
        <v>0</v>
      </c>
      <c r="K15" s="4">
        <f>SUM(K3:K14)</f>
        <v>0</v>
      </c>
      <c r="L15" s="4">
        <f>SUM(L3:L14)</f>
        <v>0</v>
      </c>
      <c r="M15" s="4">
        <f t="shared" ref="M15" si="2">SUM(M3:M14)</f>
        <v>0</v>
      </c>
      <c r="N15" s="4">
        <f>SUM(N3:N14)</f>
        <v>0</v>
      </c>
      <c r="O15" s="4">
        <f>SUM(O3:O14)</f>
        <v>0</v>
      </c>
      <c r="P15" s="4">
        <f>SUM(P3:P14)</f>
        <v>0</v>
      </c>
      <c r="Q15" s="4">
        <f t="shared" si="1"/>
        <v>0</v>
      </c>
      <c r="R15" s="4">
        <f>SUM(R3:R14)</f>
        <v>0</v>
      </c>
      <c r="S15" s="4">
        <f t="shared" si="1"/>
        <v>0</v>
      </c>
      <c r="T15" s="4">
        <f t="shared" si="1"/>
        <v>0</v>
      </c>
      <c r="U15" s="4">
        <f>SUM(U3:U14)</f>
        <v>0</v>
      </c>
    </row>
    <row r="16" spans="1:23">
      <c r="I16" s="77"/>
      <c r="J16" s="77"/>
      <c r="K16" s="13"/>
      <c r="L16" s="13"/>
      <c r="M16" s="13"/>
      <c r="N16" s="13"/>
      <c r="O16" s="13"/>
    </row>
  </sheetData>
  <mergeCells count="2">
    <mergeCell ref="A1:U1"/>
    <mergeCell ref="I16:J16"/>
  </mergeCells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D2:I4"/>
  <sheetViews>
    <sheetView workbookViewId="0">
      <selection activeCell="I10" sqref="I10"/>
    </sheetView>
  </sheetViews>
  <sheetFormatPr defaultRowHeight="16.5"/>
  <cols>
    <col min="1" max="3" width="9" style="1"/>
    <col min="4" max="4" width="6.5" style="1" bestFit="1" customWidth="1"/>
    <col min="5" max="5" width="35.5" style="1" customWidth="1"/>
    <col min="6" max="6" width="9" style="1"/>
    <col min="7" max="7" width="36.25" style="1" customWidth="1"/>
    <col min="8" max="8" width="9" style="1"/>
    <col min="9" max="9" width="27.5" style="1" customWidth="1"/>
    <col min="10" max="16384" width="9" style="1"/>
  </cols>
  <sheetData>
    <row r="2" spans="4:9" ht="55.5">
      <c r="D2" s="31"/>
      <c r="E2" s="50" t="s">
        <v>33</v>
      </c>
      <c r="G2" s="50" t="s">
        <v>87</v>
      </c>
      <c r="I2" s="50" t="s">
        <v>35</v>
      </c>
    </row>
    <row r="3" spans="4:9" ht="27.75">
      <c r="D3" s="8" t="s">
        <v>88</v>
      </c>
      <c r="E3" s="8">
        <v>78750</v>
      </c>
      <c r="F3" s="8"/>
      <c r="G3" s="8">
        <v>591600</v>
      </c>
      <c r="H3" s="8"/>
      <c r="I3" s="8">
        <f>E3+G3</f>
        <v>670350</v>
      </c>
    </row>
    <row r="4" spans="4:9" ht="27.75">
      <c r="D4" s="4" t="s">
        <v>89</v>
      </c>
      <c r="E4" s="8">
        <f>E3/1000</f>
        <v>78.75</v>
      </c>
      <c r="F4" s="8"/>
      <c r="G4" s="8">
        <f>G3/1000</f>
        <v>591.6</v>
      </c>
      <c r="H4" s="8"/>
      <c r="I4" s="8">
        <f>I3/1000</f>
        <v>670.35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D2:K4"/>
  <sheetViews>
    <sheetView workbookViewId="0">
      <selection activeCell="E14" sqref="E14"/>
    </sheetView>
  </sheetViews>
  <sheetFormatPr defaultRowHeight="16.5"/>
  <cols>
    <col min="5" max="5" width="35.5" customWidth="1"/>
    <col min="7" max="7" width="36.25" customWidth="1"/>
    <col min="9" max="9" width="21.125" customWidth="1"/>
    <col min="11" max="11" width="27.5" customWidth="1"/>
  </cols>
  <sheetData>
    <row r="2" spans="4:11" ht="55.5">
      <c r="D2" s="51"/>
      <c r="E2" s="48" t="s">
        <v>32</v>
      </c>
      <c r="G2" s="48" t="s">
        <v>69</v>
      </c>
      <c r="H2" s="51"/>
      <c r="I2" s="48" t="s">
        <v>82</v>
      </c>
      <c r="J2" s="51"/>
      <c r="K2" s="48" t="s">
        <v>70</v>
      </c>
    </row>
    <row r="3" spans="4:11" ht="27.75">
      <c r="D3" s="8" t="s">
        <v>88</v>
      </c>
      <c r="E3" s="8">
        <v>63120</v>
      </c>
      <c r="F3" s="8"/>
      <c r="G3" s="8">
        <v>86870</v>
      </c>
      <c r="H3" s="8"/>
      <c r="I3" s="8">
        <v>0</v>
      </c>
      <c r="J3" s="8"/>
      <c r="K3" s="8">
        <f>SUM(E3+G3+I3)</f>
        <v>149990</v>
      </c>
    </row>
    <row r="4" spans="4:11" ht="27.75">
      <c r="D4" s="4" t="s">
        <v>89</v>
      </c>
      <c r="E4" s="8">
        <f>E3/1000</f>
        <v>63.12</v>
      </c>
      <c r="F4" s="8"/>
      <c r="G4" s="8">
        <f>G3/1000</f>
        <v>86.87</v>
      </c>
      <c r="H4" s="8"/>
      <c r="I4" s="8">
        <f>I3/1000</f>
        <v>0</v>
      </c>
      <c r="J4" s="8"/>
      <c r="K4" s="8">
        <f>K3/1000</f>
        <v>149.99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D2:J4"/>
  <sheetViews>
    <sheetView workbookViewId="0">
      <selection activeCell="E24" sqref="E24"/>
    </sheetView>
  </sheetViews>
  <sheetFormatPr defaultRowHeight="16.5"/>
  <cols>
    <col min="5" max="5" width="35.5" customWidth="1"/>
    <col min="7" max="7" width="36.25" customWidth="1"/>
    <col min="10" max="10" width="27.5" customWidth="1"/>
  </cols>
  <sheetData>
    <row r="2" spans="4:10" ht="57.75">
      <c r="D2" s="51"/>
      <c r="E2" s="48" t="s">
        <v>92</v>
      </c>
      <c r="G2" s="48" t="s">
        <v>93</v>
      </c>
      <c r="H2" s="51"/>
      <c r="I2" s="51"/>
      <c r="J2" s="48" t="s">
        <v>94</v>
      </c>
    </row>
    <row r="3" spans="4:10" ht="27.75">
      <c r="D3" s="8" t="s">
        <v>88</v>
      </c>
      <c r="E3" s="8">
        <v>74270</v>
      </c>
      <c r="F3" s="8"/>
      <c r="G3" s="8">
        <v>23930</v>
      </c>
      <c r="H3" s="8"/>
      <c r="I3" s="8"/>
      <c r="J3" s="8">
        <f>SUM(E3+G3)</f>
        <v>98200</v>
      </c>
    </row>
    <row r="4" spans="4:10" ht="27.75">
      <c r="D4" s="4" t="s">
        <v>89</v>
      </c>
      <c r="E4" s="8">
        <f>E3/1000</f>
        <v>74.27</v>
      </c>
      <c r="F4" s="8"/>
      <c r="G4" s="8">
        <f>G3/1000</f>
        <v>23.93</v>
      </c>
      <c r="H4" s="8"/>
      <c r="I4" s="8"/>
      <c r="J4" s="8">
        <f>J3/1000</f>
        <v>98.2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D2:J4"/>
  <sheetViews>
    <sheetView topLeftCell="A2" workbookViewId="0">
      <selection activeCell="G33" sqref="G33"/>
    </sheetView>
  </sheetViews>
  <sheetFormatPr defaultRowHeight="16.5"/>
  <cols>
    <col min="5" max="5" width="35.5" customWidth="1"/>
    <col min="7" max="7" width="36.25" customWidth="1"/>
    <col min="10" max="10" width="27.5" customWidth="1"/>
  </cols>
  <sheetData>
    <row r="2" spans="4:10" ht="57.75">
      <c r="D2" s="51"/>
      <c r="E2" s="48" t="s">
        <v>95</v>
      </c>
      <c r="G2" s="48" t="s">
        <v>96</v>
      </c>
      <c r="H2" s="51"/>
      <c r="I2" s="51"/>
      <c r="J2" s="48" t="s">
        <v>97</v>
      </c>
    </row>
    <row r="3" spans="4:10" ht="27.75">
      <c r="D3" s="8" t="s">
        <v>88</v>
      </c>
      <c r="E3" s="8">
        <v>16650</v>
      </c>
      <c r="F3" s="8"/>
      <c r="G3" s="8">
        <v>24450</v>
      </c>
      <c r="H3" s="8"/>
      <c r="I3" s="8"/>
      <c r="J3" s="8">
        <f>SUM(E3+G3)</f>
        <v>41100</v>
      </c>
    </row>
    <row r="4" spans="4:10" ht="27.75">
      <c r="D4" s="4" t="s">
        <v>89</v>
      </c>
      <c r="E4" s="8">
        <f>E3/1000</f>
        <v>16.649999999999999</v>
      </c>
      <c r="F4" s="8"/>
      <c r="G4" s="8">
        <f>G3/1000</f>
        <v>24.45</v>
      </c>
      <c r="H4" s="8"/>
      <c r="I4" s="8"/>
      <c r="J4" s="8">
        <f>J3/1000</f>
        <v>41.1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J4"/>
  <sheetViews>
    <sheetView workbookViewId="0">
      <selection activeCell="D13" sqref="D13"/>
    </sheetView>
  </sheetViews>
  <sheetFormatPr defaultRowHeight="16.5"/>
  <cols>
    <col min="2" max="2" width="35.5" customWidth="1"/>
    <col min="4" max="4" width="36.25" customWidth="1"/>
    <col min="5" max="5" width="14.125" customWidth="1"/>
    <col min="6" max="6" width="36.25" customWidth="1"/>
    <col min="7" max="7" width="13.125" customWidth="1"/>
    <col min="8" max="8" width="29.125" customWidth="1"/>
    <col min="10" max="10" width="27.5" customWidth="1"/>
  </cols>
  <sheetData>
    <row r="2" spans="1:10" ht="55.5">
      <c r="A2" s="51"/>
      <c r="B2" s="48" t="s">
        <v>102</v>
      </c>
      <c r="D2" s="48" t="s">
        <v>103</v>
      </c>
      <c r="E2" s="58"/>
      <c r="F2" s="48" t="s">
        <v>104</v>
      </c>
      <c r="G2" s="58"/>
      <c r="H2" s="48" t="s">
        <v>105</v>
      </c>
      <c r="I2" s="51"/>
      <c r="J2" s="48" t="s">
        <v>106</v>
      </c>
    </row>
    <row r="3" spans="1:10" ht="27.75">
      <c r="A3" s="8" t="s">
        <v>88</v>
      </c>
      <c r="B3" s="8">
        <v>3850</v>
      </c>
      <c r="C3" s="8"/>
      <c r="D3" s="8">
        <v>15090</v>
      </c>
      <c r="E3" s="8"/>
      <c r="F3" s="8">
        <v>347920</v>
      </c>
      <c r="G3" s="8"/>
      <c r="H3" s="8">
        <v>395730</v>
      </c>
      <c r="I3" s="8"/>
      <c r="J3" s="8">
        <f>SUM(B3,D3,F3,H3)</f>
        <v>762590</v>
      </c>
    </row>
    <row r="4" spans="1:10" ht="27.75">
      <c r="A4" s="4" t="s">
        <v>89</v>
      </c>
      <c r="B4" s="8">
        <f>B3/1000</f>
        <v>3.85</v>
      </c>
      <c r="C4" s="8"/>
      <c r="D4" s="8">
        <f>D3/1000</f>
        <v>15.09</v>
      </c>
      <c r="E4" s="8"/>
      <c r="F4" s="8">
        <f>F3/1000</f>
        <v>347.92</v>
      </c>
      <c r="G4" s="8"/>
      <c r="H4" s="8">
        <f>H3/1000</f>
        <v>395.73</v>
      </c>
      <c r="I4" s="8"/>
      <c r="J4" s="8">
        <f>J3/1000</f>
        <v>762.59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各區中隊</vt:lpstr>
      <vt:lpstr>委外廠商</vt:lpstr>
      <vt:lpstr>資收車進廠-2月</vt:lpstr>
      <vt:lpstr>資收車進廠-1月</vt:lpstr>
      <vt:lpstr>委外廠商 (樣本)</vt:lpstr>
      <vt:lpstr>富立達-split</vt:lpstr>
      <vt:lpstr>達清-split</vt:lpstr>
      <vt:lpstr>統煜企業-split</vt:lpstr>
      <vt:lpstr>統立環保-split</vt:lpstr>
      <vt:lpstr>桃園中隊-split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2025-05-02T08:04:03Z</dcterms:modified>
</cp:coreProperties>
</file>